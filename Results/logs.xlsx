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ML Project\2 weeks project ML\Automated Phyto-Pathology Diagnostics\Automated-Phyto-Pathology-Diagnostics\Results\"/>
    </mc:Choice>
  </mc:AlternateContent>
  <xr:revisionPtr revIDLastSave="0" documentId="13_ncr:1_{2EFFEC68-44BE-4147-8081-33759EF79635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data" sheetId="1" r:id="rId1"/>
    <sheet name="classes" sheetId="2" r:id="rId2"/>
    <sheet name="PlantVillage Vit" sheetId="3" r:id="rId3"/>
    <sheet name="PlantVillage CRNN" sheetId="4" r:id="rId4"/>
    <sheet name="PlantVillage GCNN" sheetId="5" r:id="rId5"/>
    <sheet name="PlantVillage GRCNN" sheetId="6" r:id="rId6"/>
    <sheet name="4 models comparrison" sheetId="7" r:id="rId7"/>
    <sheet name="CRNN(opt)" sheetId="8" r:id="rId8"/>
  </sheets>
  <definedNames>
    <definedName name="_xlchart.v2.0" hidden="1">'4 models comparrison'!$A$3:$A$6</definedName>
    <definedName name="_xlchart.v2.1" hidden="1">'4 models comparrison'!$D$2</definedName>
    <definedName name="_xlchart.v2.2" hidden="1">'4 models comparrison'!$D$3:$D$6</definedName>
  </definedNames>
  <calcPr calcId="162913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<sst xmlns="http://schemas.openxmlformats.org/spreadsheetml/2006/main" count="314" uniqueCount="204">
  <si>
    <t>Dataset Technical Profile</t>
  </si>
  <si>
    <t>Attribute</t>
  </si>
  <si>
    <t>Details</t>
  </si>
  <si>
    <t>Total Images</t>
  </si>
  <si>
    <t>Approximately 54,305</t>
  </si>
  <si>
    <t>Total Classes</t>
  </si>
  <si>
    <t>38 (covering 14 species)</t>
  </si>
  <si>
    <t>Format</t>
  </si>
  <si>
    <t>RGB Color, Grayscale, and Segmented (various versions)</t>
  </si>
  <si>
    <t>Resolution</t>
  </si>
  <si>
    <t>Originally 256x256 pixels (standardized for ML)</t>
  </si>
  <si>
    <t>Species Count</t>
  </si>
  <si>
    <t>14 different crops/plants</t>
  </si>
  <si>
    <t>PlantVillage Dataset Class Distribution</t>
  </si>
  <si>
    <t>Class Name</t>
  </si>
  <si>
    <t>Image Count</t>
  </si>
  <si>
    <t>Dataset Percentage (%)</t>
  </si>
  <si>
    <t>Orange: Haunglongbing (Citrus greening)</t>
  </si>
  <si>
    <t>Tomato: Yellow Leaf Curl Virus</t>
  </si>
  <si>
    <t>Soybean: Healthy</t>
  </si>
  <si>
    <t>Peach: Bacterial spot</t>
  </si>
  <si>
    <t>Tomato: Bacterial spot</t>
  </si>
  <si>
    <t>Tomato: Late blight</t>
  </si>
  <si>
    <t>Squash: Powdery mildew</t>
  </si>
  <si>
    <t>Tomato: Septoria leaf spot</t>
  </si>
  <si>
    <t>Tomato: Spider mites (Two-spotted)</t>
  </si>
  <si>
    <t>Apple: Healthy</t>
  </si>
  <si>
    <t>Tomato: Healthy</t>
  </si>
  <si>
    <t>Blueberry: Healthy</t>
  </si>
  <si>
    <t>Pepper, bell: Healthy</t>
  </si>
  <si>
    <t>Tomato: Target Spot</t>
  </si>
  <si>
    <t>Grape: Esca (Black Measles)</t>
  </si>
  <si>
    <t>Corn (maize): Common rust</t>
  </si>
  <si>
    <t>Grape: Black rot</t>
  </si>
  <si>
    <t>Corn (maize): Healthy</t>
  </si>
  <si>
    <t>Strawberry: Leaf scorch</t>
  </si>
  <si>
    <t>Grape: Leaf blight (Isariopsis)</t>
  </si>
  <si>
    <t>Cherry: Powdery mildew</t>
  </si>
  <si>
    <t>Tomato: Early blight</t>
  </si>
  <si>
    <t>Potato: Early blight</t>
  </si>
  <si>
    <t>Potato: Late blight</t>
  </si>
  <si>
    <t>Pepper, bell: Bacterial spot</t>
  </si>
  <si>
    <t>Corn (maize): Northern Leaf Blight</t>
  </si>
  <si>
    <t>Tomato: Leaf Mold</t>
  </si>
  <si>
    <t>Cherry: Healthy</t>
  </si>
  <si>
    <t>Apple: Apple scab</t>
  </si>
  <si>
    <t>Apple: Black rot</t>
  </si>
  <si>
    <t>Corn (maize): Gray leaf spot</t>
  </si>
  <si>
    <t>Strawberry: Healthy</t>
  </si>
  <si>
    <t>Grape: Healthy</t>
  </si>
  <si>
    <t>Tomato: Mosaic virus</t>
  </si>
  <si>
    <t>Raspberry: Healthy</t>
  </si>
  <si>
    <t>Peach: Healthy</t>
  </si>
  <si>
    <t>Apple: Cedar apple rust</t>
  </si>
  <si>
    <t>Potato: Healthy</t>
  </si>
  <si>
    <t>Epoch</t>
  </si>
  <si>
    <t>Val Accuracy</t>
  </si>
  <si>
    <t>Val F1 (Macro)</t>
  </si>
  <si>
    <t>Time (s)</t>
  </si>
  <si>
    <t>Status</t>
  </si>
  <si>
    <t>Initial Convergence</t>
  </si>
  <si>
    <t>Stable</t>
  </si>
  <si>
    <t>Improving</t>
  </si>
  <si>
    <t>Peak Performance</t>
  </si>
  <si>
    <t>Performance Drop</t>
  </si>
  <si>
    <t>Fluctuation</t>
  </si>
  <si>
    <t>Recovering</t>
  </si>
  <si>
    <t>High Recovery</t>
  </si>
  <si>
    <t>Gradient Instability</t>
  </si>
  <si>
    <t>Drop</t>
  </si>
  <si>
    <t>Significant Drop</t>
  </si>
  <si>
    <t>Lowest Point</t>
  </si>
  <si>
    <t>Final Recovery</t>
  </si>
  <si>
    <t>Metric</t>
  </si>
  <si>
    <t>Significant Gain</t>
  </si>
  <si>
    <t>Minor Fluctuation</t>
  </si>
  <si>
    <t>Approaching Peak</t>
  </si>
  <si>
    <t>High Performance</t>
  </si>
  <si>
    <t>Steady Growth</t>
  </si>
  <si>
    <t>PEAK PERFORMANCE</t>
  </si>
  <si>
    <t>Final Result</t>
  </si>
  <si>
    <t>CRNN Final Test Evaluation</t>
  </si>
  <si>
    <t>Test Accuracy</t>
  </si>
  <si>
    <t>Global classification success rate.</t>
  </si>
  <si>
    <t>Test F1 (Macro)</t>
  </si>
  <si>
    <t>Balanced performance across all 38 classes.</t>
  </si>
  <si>
    <t>Entry Point</t>
  </si>
  <si>
    <t>High Gain</t>
  </si>
  <si>
    <t>Consistent</t>
  </si>
  <si>
    <t>Crossing 80%</t>
  </si>
  <si>
    <t>Local Minimum</t>
  </si>
  <si>
    <t>Recovery</t>
  </si>
  <si>
    <t>Strong Gain</t>
  </si>
  <si>
    <t>Peak F1 Score</t>
  </si>
  <si>
    <t>Plateau</t>
  </si>
  <si>
    <t>Final State</t>
  </si>
  <si>
    <t xml:space="preserve">PlantVillage GCNN Performance Summary </t>
  </si>
  <si>
    <t>GCNN Final Test Evaluation</t>
  </si>
  <si>
    <t>Key Insight</t>
  </si>
  <si>
    <t>Overall success rate across all test images.</t>
  </si>
  <si>
    <t>Balanced performance accounting for all 38 classes.</t>
  </si>
  <si>
    <t>Overall classification success rate across 38 classes.</t>
  </si>
  <si>
    <t>Balanced performance across classes, accounting for imbalance.</t>
  </si>
  <si>
    <t xml:space="preserve"> Test Accuracy</t>
  </si>
  <si>
    <t xml:space="preserve"> Test F1 (Macro)</t>
  </si>
  <si>
    <t>PlantVillage Vit Training Performance Summary</t>
  </si>
  <si>
    <t xml:space="preserve">PlantVillage  CRNN Performance Summary </t>
  </si>
  <si>
    <t>Vit Final Test Evaluation</t>
  </si>
  <si>
    <t xml:space="preserve">Result </t>
  </si>
  <si>
    <t>Average of Val Accuracy</t>
  </si>
  <si>
    <t>Average of Val F1 (Macro)</t>
  </si>
  <si>
    <t>Initializing</t>
  </si>
  <si>
    <t>Rapid Learning</t>
  </si>
  <si>
    <t>Progressing</t>
  </si>
  <si>
    <t>Crossing 85%</t>
  </si>
  <si>
    <t>Final State (Best)</t>
  </si>
  <si>
    <t xml:space="preserve">PlantVillage GRCNN Performance Summary </t>
  </si>
  <si>
    <t>GRCNN Final Test Evaluation</t>
  </si>
  <si>
    <t>Result</t>
  </si>
  <si>
    <t>Accuracy</t>
  </si>
  <si>
    <t>Strong classification performance, outperforming both the GCNN and ViT baseline models.</t>
  </si>
  <si>
    <t>Macro F1</t>
  </si>
  <si>
    <t>High reliability across the 38 plant disease classes, indicating effective handling of class imbalance.</t>
  </si>
  <si>
    <t>Average of Time (s)</t>
  </si>
  <si>
    <t>Average Time /epoch</t>
  </si>
  <si>
    <t>Consolidated Model Performance Table</t>
  </si>
  <si>
    <t>Model</t>
  </si>
  <si>
    <t>Avg Val Accuracy</t>
  </si>
  <si>
    <t>Avg Val F1 (Macro)</t>
  </si>
  <si>
    <t>Avg Time/Epoch (s)</t>
  </si>
  <si>
    <t>ViT</t>
  </si>
  <si>
    <t>CRNN</t>
  </si>
  <si>
    <t>GCNN</t>
  </si>
  <si>
    <t>GRCNN</t>
  </si>
  <si>
    <t>Final Model Comparison: Performance Metrics</t>
  </si>
  <si>
    <t>Model Architecture</t>
  </si>
  <si>
    <t>Test Accuracy (%)</t>
  </si>
  <si>
    <t>Test F1 (Macro) (%)</t>
  </si>
  <si>
    <t>Primary Advantage</t>
  </si>
  <si>
    <t>Superior sequential &amp; spatial feature extraction.</t>
  </si>
  <si>
    <t>Best graph-based approach; utilizes recurrent memory.</t>
  </si>
  <si>
    <t>Effective spatial relationship modeling on graphs.</t>
  </si>
  <si>
    <t>Global attention mechanism (baseline performance).</t>
  </si>
  <si>
    <t>Full Class-Wise Results</t>
  </si>
  <si>
    <t>Precision</t>
  </si>
  <si>
    <t>Recall</t>
  </si>
  <si>
    <t>F1-Score</t>
  </si>
  <si>
    <t>Support</t>
  </si>
  <si>
    <t>Apple Scab</t>
  </si>
  <si>
    <t>Apple Black Rot</t>
  </si>
  <si>
    <t>Apple Cedar Rust</t>
  </si>
  <si>
    <t>Apple Healthy</t>
  </si>
  <si>
    <t>Blueberry Healthy</t>
  </si>
  <si>
    <t>Cherry Powdery Mildew</t>
  </si>
  <si>
    <t>Cherry Healthy</t>
  </si>
  <si>
    <t>Corn Gray Leaf Spot</t>
  </si>
  <si>
    <t>Corn Common Rust</t>
  </si>
  <si>
    <t>Corn Northern Blight</t>
  </si>
  <si>
    <t>Corn Healthy</t>
  </si>
  <si>
    <t>Grape Black Rot</t>
  </si>
  <si>
    <t>Grape Black Measles</t>
  </si>
  <si>
    <t>Grape Leaf Blight</t>
  </si>
  <si>
    <t>Grape Healthy</t>
  </si>
  <si>
    <t>Orange Haunglongbing</t>
  </si>
  <si>
    <t>Peach Bacterial Spot</t>
  </si>
  <si>
    <t>Peach Healthy</t>
  </si>
  <si>
    <t>Pepper Bell Bacterial Spot</t>
  </si>
  <si>
    <t>Pepper Bell Healthy</t>
  </si>
  <si>
    <t>Potato Early Blight</t>
  </si>
  <si>
    <t>Potato Late Blight</t>
  </si>
  <si>
    <t>Potato Healthy</t>
  </si>
  <si>
    <t>Raspberry Healthy</t>
  </si>
  <si>
    <t>Soybean Healthy</t>
  </si>
  <si>
    <t>Squash Powdery Mildew</t>
  </si>
  <si>
    <t>Strawberry Leaf Scorch</t>
  </si>
  <si>
    <t>Strawberry Healthy</t>
  </si>
  <si>
    <t>Tomato Bacterial Spot</t>
  </si>
  <si>
    <t>Tomato Early Blight</t>
  </si>
  <si>
    <t>Tomato Late Blight</t>
  </si>
  <si>
    <t>Tomato Leaf Mold</t>
  </si>
  <si>
    <t>Tomato Septoria Spot</t>
  </si>
  <si>
    <t>Tomato Spider Mites</t>
  </si>
  <si>
    <t>Tomato Target Spot</t>
  </si>
  <si>
    <t>Tomato Yellow Leaf Curl</t>
  </si>
  <si>
    <t>Tomato Mosaic Virus</t>
  </si>
  <si>
    <t>Tomato Healthy</t>
  </si>
  <si>
    <t>Training &amp; Validation History</t>
  </si>
  <si>
    <t>Train Loss</t>
  </si>
  <si>
    <t>Train Acc</t>
  </si>
  <si>
    <t>Train F1</t>
  </si>
  <si>
    <t>Val Loss</t>
  </si>
  <si>
    <t>Val Acc</t>
  </si>
  <si>
    <t>Val F1</t>
  </si>
  <si>
    <t>Value</t>
  </si>
  <si>
    <t>Description</t>
  </si>
  <si>
    <t>The overall percentage of correct predictions across all 8,147 test images.</t>
  </si>
  <si>
    <t>Macro F1-Score</t>
  </si>
  <si>
    <t>The average F1-score across all 38 classes (treats rare and common diseases equally).</t>
  </si>
  <si>
    <t>Weighted F1-Score</t>
  </si>
  <si>
    <t>The F1-score adjusted for the number of images in each class.</t>
  </si>
  <si>
    <t>Total Test Samples</t>
  </si>
  <si>
    <t>Total number of "unseen" images used for this final evaluation.</t>
  </si>
  <si>
    <t>Final Test Metrics Summary</t>
  </si>
  <si>
    <t xml:space="preserve">ViT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</si>
</sst>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9" fontId="0" fillId="0" borderId="0" xfId="1" applyFon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0.000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Training</a:t>
            </a:r>
            <a:r>
              <a:rPr lang="en-US" sz="1500" b="1" baseline="0"/>
              <a:t> Chart</a:t>
            </a:r>
            <a:endParaRPr lang="en-US" sz="1500" b="1"/>
          </a:p>
        </c:rich>
      </c:tx>
      <c:layout>
        <c:manualLayout>
          <c:xMode val="edge"/>
          <c:yMode val="edge"/>
          <c:x val="6.6582914572864312E-3"/>
          <c:y val="3.0899961375048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models comparrison'!$B$2</c:f>
              <c:strCache>
                <c:ptCount val="1"/>
                <c:pt idx="0">
                  <c:v>Avg Val Accuracy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models comparrison'!$A$3:$A$6</c:f>
              <c:strCache>
                <c:ptCount val="4"/>
                <c:pt idx="0">
                  <c:v>ViT</c:v>
                </c:pt>
                <c:pt idx="1">
                  <c:v>CRNN</c:v>
                </c:pt>
                <c:pt idx="2">
                  <c:v>GCNN</c:v>
                </c:pt>
                <c:pt idx="3">
                  <c:v>GRCNN</c:v>
                </c:pt>
              </c:strCache>
            </c:strRef>
          </c:cat>
          <c:val>
            <c:numRef>
              <c:f>'4 models comparrison'!$B$3:$B$6</c:f>
              <c:numCache>
                <c:formatCode>0%</c:formatCode>
                <c:ptCount val="4"/>
                <c:pt idx="0">
                  <c:v>0.69269999999999998</c:v>
                </c:pt>
                <c:pt idx="1">
                  <c:v>0.9607</c:v>
                </c:pt>
                <c:pt idx="2">
                  <c:v>0.79200000000000004</c:v>
                </c:pt>
                <c:pt idx="3">
                  <c:v>0.79420000000000002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C-4EA2-871F-FF9B74B90BBF}"/>
            </c:ext>
          </c:extLst>
        </c:ser>
        <c:ser>
          <c:idx val="1"/>
          <c:order val="1"/>
          <c:tx>
            <c:strRef>
              <c:f>'4 models comparrison'!$C$2</c:f>
              <c:strCache>
                <c:ptCount val="1"/>
                <c:pt idx="0">
                  <c:v>Avg Val F1 (Macro)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models comparrison'!$A$3:$A$6</c:f>
              <c:strCache>
                <c:ptCount val="4"/>
                <c:pt idx="0">
                  <c:v>ViT</c:v>
                </c:pt>
                <c:pt idx="1">
                  <c:v>CRNN</c:v>
                </c:pt>
                <c:pt idx="2">
                  <c:v>GCNN</c:v>
                </c:pt>
                <c:pt idx="3">
                  <c:v>GRCNN</c:v>
                </c:pt>
              </c:strCache>
            </c:strRef>
          </c:cat>
          <c:val>
            <c:numRef>
              <c:f>'4 models comparrison'!$C$3:$C$6</c:f>
              <c:numCache>
                <c:formatCode>0%</c:formatCode>
                <c:ptCount val="4"/>
                <c:pt idx="0">
                  <c:v>0.59789999999999999</c:v>
                </c:pt>
                <c:pt idx="1">
                  <c:v>0.94620000000000004</c:v>
                </c:pt>
                <c:pt idx="2">
                  <c:v>0.72199999999999998</c:v>
                </c:pt>
                <c:pt idx="3">
                  <c:v>0.73209999999999997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C-4EA2-871F-FF9B74B90B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6757520"/>
        <c:axId val="1056754640"/>
      </c:barChart>
      <c:catAx>
        <c:axId val="105675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54640"/>
        <c:crosses val="autoZero"/>
        <c:auto val="1"/>
        <c:lblAlgn val="ctr"/>
        <c:lblOffset val="100"/>
        <c:noMultiLvlLbl val="0"/>
      </c:catAx>
      <c:valAx>
        <c:axId val="105675464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05675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361106714675745"/>
          <c:y val="5.8033533757295384E-2"/>
          <c:w val="0.42250969413999129"/>
          <c:h val="0.16178270639603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Testing</a:t>
            </a:r>
            <a:r>
              <a:rPr lang="en-US" sz="1500" b="1" baseline="0"/>
              <a:t> Chart</a:t>
            </a:r>
            <a:endParaRPr lang="en-US" sz="1500" b="1"/>
          </a:p>
        </c:rich>
      </c:tx>
      <c:layout>
        <c:manualLayout>
          <c:xMode val="edge"/>
          <c:yMode val="edge"/>
          <c:x val="2.0904438227272851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385022385022386E-2"/>
          <c:y val="0.17736111111111111"/>
          <c:w val="0.95522995522995524"/>
          <c:h val="0.57052384076990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 models comparrison'!$H$2</c:f>
              <c:strCache>
                <c:ptCount val="1"/>
                <c:pt idx="0">
                  <c:v>Test Accuracy (%)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models comparrison'!$G$3:$G$6</c:f>
              <c:strCache>
                <c:ptCount val="4"/>
                <c:pt idx="0">
                  <c:v>CRNN</c:v>
                </c:pt>
                <c:pt idx="1">
                  <c:v>GRCNN</c:v>
                </c:pt>
                <c:pt idx="2">
                  <c:v>GCNN</c:v>
                </c:pt>
                <c:pt idx="3">
                  <c:v>ViT </c:v>
                </c:pt>
              </c:strCache>
            </c:strRef>
          </c:cat>
          <c:val>
            <c:numRef>
              <c:f>'4 models comparrison'!$H$3:$H$6</c:f>
              <c:numCache>
                <c:formatCode>0%</c:formatCode>
                <c:ptCount val="4"/>
                <c:pt idx="0">
                  <c:v>0.97850000000000004</c:v>
                </c:pt>
                <c:pt idx="1">
                  <c:v>0.87770000000000004</c:v>
                </c:pt>
                <c:pt idx="2">
                  <c:v>0.86260000000000003</c:v>
                </c:pt>
                <c:pt idx="3">
                  <c:v>0.77200000000000002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2-41AC-8FED-233C063F756C}"/>
            </c:ext>
          </c:extLst>
        </c:ser>
        <c:ser>
          <c:idx val="1"/>
          <c:order val="1"/>
          <c:tx>
            <c:strRef>
              <c:f>'4 models comparrison'!$I$2</c:f>
              <c:strCache>
                <c:ptCount val="1"/>
                <c:pt idx="0">
                  <c:v>Test F1 (Macro) (%)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models comparrison'!$G$3:$G$6</c:f>
              <c:strCache>
                <c:ptCount val="4"/>
                <c:pt idx="0">
                  <c:v>CRNN</c:v>
                </c:pt>
                <c:pt idx="1">
                  <c:v>GRCNN</c:v>
                </c:pt>
                <c:pt idx="2">
                  <c:v>GCNN</c:v>
                </c:pt>
                <c:pt idx="3">
                  <c:v>ViT </c:v>
                </c:pt>
              </c:strCache>
            </c:strRef>
          </c:cat>
          <c:val>
            <c:numRef>
              <c:f>'4 models comparrison'!$I$3:$I$6</c:f>
              <c:numCache>
                <c:formatCode>0%</c:formatCode>
                <c:ptCount val="4"/>
                <c:pt idx="0">
                  <c:v>0.97219999999999995</c:v>
                </c:pt>
                <c:pt idx="1">
                  <c:v>0.83709999999999996</c:v>
                </c:pt>
                <c:pt idx="2">
                  <c:v>0.81279999999999997</c:v>
                </c:pt>
                <c:pt idx="3">
                  <c:v>0.68940000000000001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92-41AC-8FED-233C063F7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8349344"/>
        <c:axId val="1058349824"/>
      </c:barChart>
      <c:catAx>
        <c:axId val="105834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349824"/>
        <c:crosses val="autoZero"/>
        <c:auto val="1"/>
        <c:lblAlgn val="ctr"/>
        <c:lblOffset val="100"/>
        <c:noMultiLvlLbl val="0"/>
      </c:catAx>
      <c:valAx>
        <c:axId val="105834982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583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643637494031195"/>
          <c:y val="5.7283160785457379E-2"/>
          <c:w val="0.44064764340354901"/>
          <c:h val="0.20882272528433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Training Time (s)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Training Time (s)</a:t>
          </a:r>
        </a:p>
      </cx:txPr>
    </cx:title>
    <cx:plotArea>
      <cx:plotAreaRegion>
        <cx:series layoutId="funnel" uniqueId="{73969A62-9FE8-4032-B8DE-135BF36E05C8}">
          <cx:tx>
            <cx:txData>
              <cx:f>_xlchart.v2.1</cx:f>
              <cx:v>Avg Time/Epoch (s)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500" b="1"/>
                </a:pPr>
                <a:endParaRPr lang="en-US" sz="15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blipFill>
      <a:blip r:embed="rId1"/>
      <a:tile tx="0" ty="0" sx="100000" sy="100000" flip="none" algn="tl"/>
    </a:blip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7</xdr:row>
      <xdr:rowOff>7620</xdr:rowOff>
    </xdr:from>
    <xdr:to>
      <xdr:col>7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B1FAE-6984-045A-410E-43DACA139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975360</xdr:colOff>
      <xdr:row>7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E2472-A406-E8ED-B9E2-282CFF98A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533400</xdr:colOff>
      <xdr:row>6</xdr:row>
      <xdr:rowOff>80010</xdr:rowOff>
    </xdr:from>
    <xdr:to>
      <xdr:col>6</xdr:col>
      <xdr:colOff>2674620</xdr:colOff>
      <xdr:row>21</xdr:row>
      <xdr:rowOff>80010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D6AEE4D-9724-021E-251D-696ADBC1A7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53740" y="11772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6.807220254632" createdVersion="8" refreshedVersion="8" minRefreshableVersion="3" recordCount="25" xr:uid="{C3F4D4CC-6F2C-4405-9F65-20DAAD87106A}">
  <cacheSource type="worksheet">
    <worksheetSource ref="A2:E27" sheet="PlantVillage GCNN"/>
  </cacheSource>
  <cacheFields count="5">
    <cacheField name="Epoch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Val Accuracy" numFmtId="0">
      <sharedItems containsSemiMixedTypes="0" containsString="0" containsNumber="1" minValue="0.51919999999999999" maxValue="0.85860000000000003"/>
    </cacheField>
    <cacheField name="Val F1 (Macro)" numFmtId="0">
      <sharedItems containsSemiMixedTypes="0" containsString="0" containsNumber="1" minValue="0.35980000000000001" maxValue="0.80859999999999999"/>
    </cacheField>
    <cacheField name="Time (s)" numFmtId="0">
      <sharedItems containsSemiMixedTypes="0" containsString="0" containsNumber="1" minValue="196.3" maxValue="342.7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7.040182060184" createdVersion="8" refreshedVersion="8" minRefreshableVersion="3" recordCount="25" xr:uid="{DA24C724-6940-48C3-B642-6C7B07845973}">
  <cacheSource type="worksheet">
    <worksheetSource ref="A2:E27" sheet="PlantVillage CRNN"/>
  </cacheSource>
  <cacheFields count="5">
    <cacheField name="Epoch" numFmtId="0">
      <sharedItems containsSemiMixedTypes="0" containsString="0" containsNumber="1" containsInteger="1" minValue="1" maxValue="25"/>
    </cacheField>
    <cacheField name="Val Accuracy" numFmtId="0">
      <sharedItems containsSemiMixedTypes="0" containsString="0" containsNumber="1" minValue="0.86799999999999999" maxValue="0.98" count="18">
        <n v="0.86799999999999999"/>
        <n v="0.91400000000000003"/>
        <n v="0.91800000000000004"/>
        <n v="0.92700000000000005"/>
        <n v="0.93899999999999995"/>
        <n v="0.94599999999999995"/>
        <n v="0.96899999999999997"/>
        <n v="0.96799999999999997"/>
        <n v="0.96699999999999997"/>
        <n v="0.96599999999999997"/>
        <n v="0.97299999999999998"/>
        <n v="0.97699999999999998"/>
        <n v="0.97399999999999998"/>
        <n v="0.97799999999999998"/>
        <n v="0.98"/>
        <n v="0.97"/>
        <n v="0.97599999999999998"/>
        <n v="0.97899999999999998"/>
      </sharedItems>
    </cacheField>
    <cacheField name="Val F1 (Macro)" numFmtId="0">
      <sharedItems containsSemiMixedTypes="0" containsString="0" containsNumber="1" minValue="0.80700000000000005" maxValue="0.97699999999999998"/>
    </cacheField>
    <cacheField name="Time (s)" numFmtId="0">
      <sharedItems containsSemiMixedTypes="0" containsString="0" containsNumber="1" minValue="180" maxValue="424.2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7.041445486109" createdVersion="8" refreshedVersion="8" minRefreshableVersion="3" recordCount="25" xr:uid="{6FB81C85-6FA4-4892-9FF1-B4FB725839CF}">
  <cacheSource type="worksheet">
    <worksheetSource ref="A2:E27" sheet="PlantVillage GRCNN"/>
  </cacheSource>
  <cacheFields count="5">
    <cacheField name="Epoch" numFmtId="0">
      <sharedItems containsSemiMixedTypes="0" containsString="0" containsNumber="1" containsInteger="1" minValue="1" maxValue="25"/>
    </cacheField>
    <cacheField name="Val Accuracy" numFmtId="0">
      <sharedItems containsSemiMixedTypes="0" containsString="0" containsNumber="1" minValue="0.47570000000000001" maxValue="0.87849999999999995"/>
    </cacheField>
    <cacheField name="Val F1 (Macro)" numFmtId="0">
      <sharedItems containsSemiMixedTypes="0" containsString="0" containsNumber="1" minValue="0.29120000000000001" maxValue="0.84499999999999997"/>
    </cacheField>
    <cacheField name="Time (s)" numFmtId="0">
      <sharedItems containsSemiMixedTypes="0" containsString="0" containsNumber="1" minValue="164.9" maxValue="349.3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7.042240856485" createdVersion="8" refreshedVersion="8" minRefreshableVersion="3" recordCount="25" xr:uid="{8098A76B-0FBC-4358-AED8-6931515FC658}">
  <cacheSource type="worksheet">
    <worksheetSource ref="A2:E27" sheet="PlantVillage Vit"/>
  </cacheSource>
  <cacheFields count="5">
    <cacheField name="Epoch" numFmtId="0">
      <sharedItems containsSemiMixedTypes="0" containsString="0" containsNumber="1" containsInteger="1" minValue="1" maxValue="25"/>
    </cacheField>
    <cacheField name="Val Accuracy" numFmtId="0">
      <sharedItems containsSemiMixedTypes="0" containsString="0" containsNumber="1" minValue="0.51600000000000001" maxValue="0.77600000000000002"/>
    </cacheField>
    <cacheField name="Val F1 (Macro)" numFmtId="0">
      <sharedItems containsSemiMixedTypes="0" containsString="0" containsNumber="1" minValue="0.38500000000000001" maxValue="0.70099999999999996"/>
    </cacheField>
    <cacheField name="Time (s)" numFmtId="0">
      <sharedItems containsSemiMixedTypes="0" containsString="0" containsNumber="1" minValue="552.6" maxValue="555.4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0.51919999999999999"/>
    <n v="0.35980000000000001"/>
    <n v="342.7"/>
    <s v="Entry Point"/>
  </r>
  <r>
    <x v="1"/>
    <n v="0.65339999999999998"/>
    <n v="0.5413"/>
    <n v="200.3"/>
    <s v="High Gain"/>
  </r>
  <r>
    <x v="2"/>
    <n v="0.69299999999999995"/>
    <n v="0.58409999999999995"/>
    <n v="201.6"/>
    <s v="Consistent"/>
  </r>
  <r>
    <x v="3"/>
    <n v="0.71919999999999995"/>
    <n v="0.63339999999999996"/>
    <n v="201.6"/>
    <s v="Improving"/>
  </r>
  <r>
    <x v="4"/>
    <n v="0.74309999999999998"/>
    <n v="0.66810000000000003"/>
    <n v="207.2"/>
    <s v="Improving"/>
  </r>
  <r>
    <x v="5"/>
    <n v="0.76590000000000003"/>
    <n v="0.6855"/>
    <n v="205.8"/>
    <s v="Improving"/>
  </r>
  <r>
    <x v="6"/>
    <n v="0.78269999999999995"/>
    <n v="0.71640000000000004"/>
    <n v="198.1"/>
    <s v="Stable"/>
  </r>
  <r>
    <x v="7"/>
    <n v="0.77900000000000003"/>
    <n v="0.71179999999999999"/>
    <n v="200.3"/>
    <s v="Fluctuation"/>
  </r>
  <r>
    <x v="8"/>
    <n v="0.80200000000000005"/>
    <n v="0.73140000000000005"/>
    <n v="201.1"/>
    <s v="Crossing 80%"/>
  </r>
  <r>
    <x v="9"/>
    <n v="0.8"/>
    <n v="0.74060000000000004"/>
    <n v="200.8"/>
    <s v="Stable"/>
  </r>
  <r>
    <x v="10"/>
    <n v="0.81310000000000004"/>
    <n v="0.75549999999999995"/>
    <n v="201.2"/>
    <s v="Improving"/>
  </r>
  <r>
    <x v="11"/>
    <n v="0.81820000000000004"/>
    <n v="0.76049999999999995"/>
    <n v="198"/>
    <s v="Stable"/>
  </r>
  <r>
    <x v="12"/>
    <n v="0.80530000000000002"/>
    <n v="0.72760000000000002"/>
    <n v="198.5"/>
    <s v="Local Minimum"/>
  </r>
  <r>
    <x v="13"/>
    <n v="0.82040000000000002"/>
    <n v="0.7641"/>
    <n v="199.4"/>
    <s v="Recovery"/>
  </r>
  <r>
    <x v="14"/>
    <n v="0.82740000000000002"/>
    <n v="0.77129999999999999"/>
    <n v="197.6"/>
    <s v="Improving"/>
  </r>
  <r>
    <x v="15"/>
    <n v="0.80169999999999997"/>
    <n v="0.72970000000000002"/>
    <n v="196.9"/>
    <s v="Fluctuation"/>
  </r>
  <r>
    <x v="16"/>
    <n v="0.83499999999999996"/>
    <n v="0.7732"/>
    <n v="199.9"/>
    <s v="Strong Gain"/>
  </r>
  <r>
    <x v="17"/>
    <n v="0.84809999999999997"/>
    <n v="0.79879999999999995"/>
    <n v="199"/>
    <s v="Strong Gain"/>
  </r>
  <r>
    <x v="18"/>
    <n v="0.84030000000000005"/>
    <n v="0.77880000000000005"/>
    <n v="200.5"/>
    <s v="Stable"/>
  </r>
  <r>
    <x v="19"/>
    <n v="0.85580000000000001"/>
    <n v="0.80859999999999999"/>
    <n v="199.3"/>
    <s v="Peak F1 Score"/>
  </r>
  <r>
    <x v="20"/>
    <n v="0.84940000000000004"/>
    <n v="0.79700000000000004"/>
    <n v="203.1"/>
    <s v="Stable"/>
  </r>
  <r>
    <x v="21"/>
    <n v="0.85360000000000003"/>
    <n v="0.80310000000000004"/>
    <n v="209.8"/>
    <s v="Stable"/>
  </r>
  <r>
    <x v="22"/>
    <n v="0.8569"/>
    <n v="0.80489999999999995"/>
    <n v="198.9"/>
    <s v="Plateau"/>
  </r>
  <r>
    <x v="23"/>
    <n v="0.85729999999999995"/>
    <n v="0.80449999999999999"/>
    <n v="199.1"/>
    <s v="Plateau"/>
  </r>
  <r>
    <x v="24"/>
    <n v="0.85860000000000003"/>
    <n v="0.80720000000000003"/>
    <n v="196.3"/>
    <s v="Final St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x v="0"/>
    <n v="0.80700000000000005"/>
    <n v="424.2"/>
    <s v="Initial Convergence"/>
  </r>
  <r>
    <n v="2"/>
    <x v="1"/>
    <n v="0.89"/>
    <n v="182.8"/>
    <s v="Significant Gain"/>
  </r>
  <r>
    <n v="3"/>
    <x v="2"/>
    <n v="0.88800000000000001"/>
    <n v="181.1"/>
    <s v="Minor Fluctuation"/>
  </r>
  <r>
    <n v="4"/>
    <x v="3"/>
    <n v="0.89700000000000002"/>
    <n v="182.8"/>
    <s v="Improving"/>
  </r>
  <r>
    <n v="5"/>
    <x v="4"/>
    <n v="0.91700000000000004"/>
    <n v="181"/>
    <s v="High Performance"/>
  </r>
  <r>
    <n v="6"/>
    <x v="5"/>
    <n v="0.93"/>
    <n v="180"/>
    <s v="Steady Growth"/>
  </r>
  <r>
    <n v="7"/>
    <x v="6"/>
    <n v="0.96"/>
    <n v="180.8"/>
    <s v="Stable"/>
  </r>
  <r>
    <n v="8"/>
    <x v="7"/>
    <n v="0.95799999999999996"/>
    <n v="180.9"/>
    <s v="Stable"/>
  </r>
  <r>
    <n v="9"/>
    <x v="8"/>
    <n v="0.95399999999999996"/>
    <n v="181.2"/>
    <s v="Stable"/>
  </r>
  <r>
    <n v="10"/>
    <x v="8"/>
    <n v="0.95599999999999996"/>
    <n v="183.2"/>
    <s v="Stable"/>
  </r>
  <r>
    <n v="11"/>
    <x v="9"/>
    <n v="0.95599999999999996"/>
    <n v="184.5"/>
    <s v="Stable"/>
  </r>
  <r>
    <n v="12"/>
    <x v="10"/>
    <n v="0.96199999999999997"/>
    <n v="182.8"/>
    <s v="Improving"/>
  </r>
  <r>
    <n v="13"/>
    <x v="11"/>
    <n v="0.96799999999999997"/>
    <n v="183.5"/>
    <s v="Improving"/>
  </r>
  <r>
    <n v="14"/>
    <x v="12"/>
    <n v="0.96399999999999997"/>
    <n v="183.4"/>
    <s v="Stable"/>
  </r>
  <r>
    <n v="15"/>
    <x v="12"/>
    <n v="0.96499999999999997"/>
    <n v="182.3"/>
    <s v="Stable"/>
  </r>
  <r>
    <n v="16"/>
    <x v="13"/>
    <n v="0.97099999999999997"/>
    <n v="182.7"/>
    <s v="Approaching Peak"/>
  </r>
  <r>
    <n v="17"/>
    <x v="14"/>
    <n v="0.97699999999999998"/>
    <n v="182"/>
    <s v="PEAK PERFORMANCE"/>
  </r>
  <r>
    <n v="18"/>
    <x v="11"/>
    <n v="0.96899999999999997"/>
    <n v="183.2"/>
    <s v="Fluctuation"/>
  </r>
  <r>
    <n v="19"/>
    <x v="15"/>
    <n v="0.95599999999999996"/>
    <n v="182"/>
    <s v="Fluctuation"/>
  </r>
  <r>
    <n v="20"/>
    <x v="16"/>
    <n v="0.96799999999999997"/>
    <n v="182.2"/>
    <s v="Recovering"/>
  </r>
  <r>
    <n v="21"/>
    <x v="16"/>
    <n v="0.96599999999999997"/>
    <n v="182.1"/>
    <s v="Stable"/>
  </r>
  <r>
    <n v="22"/>
    <x v="17"/>
    <n v="0.96599999999999997"/>
    <n v="180.6"/>
    <s v="Stable"/>
  </r>
  <r>
    <n v="23"/>
    <x v="13"/>
    <n v="0.97199999999999998"/>
    <n v="181.1"/>
    <s v="Stable"/>
  </r>
  <r>
    <n v="24"/>
    <x v="17"/>
    <n v="0.97099999999999997"/>
    <n v="180.3"/>
    <s v="Stable"/>
  </r>
  <r>
    <n v="25"/>
    <x v="13"/>
    <n v="0.96699999999999997"/>
    <n v="180.5"/>
    <s v="Final Resul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n v="0.47570000000000001"/>
    <n v="0.29120000000000001"/>
    <n v="349.3"/>
    <s v="Initializing"/>
  </r>
  <r>
    <n v="2"/>
    <n v="0.58950000000000002"/>
    <n v="0.45729999999999998"/>
    <n v="167.8"/>
    <s v="Rapid Learning"/>
  </r>
  <r>
    <n v="3"/>
    <n v="0.65449999999999997"/>
    <n v="0.54210000000000003"/>
    <n v="164.9"/>
    <s v="Progressing"/>
  </r>
  <r>
    <n v="4"/>
    <n v="0.71989999999999998"/>
    <n v="0.63270000000000004"/>
    <n v="167.1"/>
    <s v="Steady Growth"/>
  </r>
  <r>
    <n v="5"/>
    <n v="0.73870000000000002"/>
    <n v="0.65159999999999996"/>
    <n v="169.1"/>
    <s v="Improving"/>
  </r>
  <r>
    <n v="6"/>
    <n v="0.75270000000000004"/>
    <n v="0.66979999999999995"/>
    <n v="169.6"/>
    <s v="Improving"/>
  </r>
  <r>
    <n v="7"/>
    <n v="0.77510000000000001"/>
    <n v="0.71040000000000003"/>
    <n v="172.3"/>
    <s v="Consistent"/>
  </r>
  <r>
    <n v="8"/>
    <n v="0.78249999999999997"/>
    <n v="0.7177"/>
    <n v="169"/>
    <s v="Consistent"/>
  </r>
  <r>
    <n v="9"/>
    <n v="0.80089999999999995"/>
    <n v="0.73480000000000001"/>
    <n v="170"/>
    <s v="Crossing 80%"/>
  </r>
  <r>
    <n v="10"/>
    <n v="0.8125"/>
    <n v="0.76539999999999997"/>
    <n v="170.8"/>
    <s v="Stable"/>
  </r>
  <r>
    <n v="11"/>
    <n v="0.81100000000000005"/>
    <n v="0.76349999999999996"/>
    <n v="167.2"/>
    <s v="Stable"/>
  </r>
  <r>
    <n v="12"/>
    <n v="0.82520000000000004"/>
    <n v="0.77569999999999995"/>
    <n v="168.3"/>
    <s v="Improving"/>
  </r>
  <r>
    <n v="13"/>
    <n v="0.8256"/>
    <n v="0.78069999999999995"/>
    <n v="166.9"/>
    <s v="Improving"/>
  </r>
  <r>
    <n v="14"/>
    <n v="0.83589999999999998"/>
    <n v="0.79269999999999996"/>
    <n v="169.7"/>
    <s v="Improving"/>
  </r>
  <r>
    <n v="15"/>
    <n v="0.82499999999999996"/>
    <n v="0.77170000000000005"/>
    <n v="170.8"/>
    <s v="Fluctuation"/>
  </r>
  <r>
    <n v="16"/>
    <n v="0.85119999999999996"/>
    <n v="0.81479999999999997"/>
    <n v="170.4"/>
    <s v="Crossing 85%"/>
  </r>
  <r>
    <n v="17"/>
    <n v="0.85709999999999997"/>
    <n v="0.81330000000000002"/>
    <n v="168.3"/>
    <s v="Stable"/>
  </r>
  <r>
    <n v="18"/>
    <n v="0.85429999999999995"/>
    <n v="0.8135"/>
    <n v="169.1"/>
    <s v="Stable"/>
  </r>
  <r>
    <n v="19"/>
    <n v="0.86339999999999995"/>
    <n v="0.82530000000000003"/>
    <n v="172.5"/>
    <s v="Improving"/>
  </r>
  <r>
    <n v="20"/>
    <n v="0.86"/>
    <n v="0.81610000000000005"/>
    <n v="173.8"/>
    <s v="Stable"/>
  </r>
  <r>
    <n v="21"/>
    <n v="0.85709999999999997"/>
    <n v="0.8175"/>
    <n v="173.1"/>
    <s v="Stable"/>
  </r>
  <r>
    <n v="22"/>
    <n v="0.87129999999999996"/>
    <n v="0.83699999999999997"/>
    <n v="173.4"/>
    <s v="High Performance"/>
  </r>
  <r>
    <n v="23"/>
    <n v="0.86560000000000004"/>
    <n v="0.82630000000000003"/>
    <n v="170.6"/>
    <s v="Stable"/>
  </r>
  <r>
    <n v="24"/>
    <n v="0.872"/>
    <n v="0.83640000000000003"/>
    <n v="171.1"/>
    <s v="High Performance"/>
  </r>
  <r>
    <n v="25"/>
    <n v="0.87849999999999995"/>
    <n v="0.84499999999999997"/>
    <n v="175.6"/>
    <s v="Final State (Best)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n v="0.74099999999999999"/>
    <n v="0.64600000000000002"/>
    <n v="552.9"/>
    <s v="Initial Convergence"/>
  </r>
  <r>
    <n v="2"/>
    <n v="0.73299999999999998"/>
    <n v="0.64700000000000002"/>
    <n v="552.6"/>
    <s v="Stable"/>
  </r>
  <r>
    <n v="3"/>
    <n v="0.77300000000000002"/>
    <n v="0.69499999999999995"/>
    <n v="554.29999999999995"/>
    <s v="Improving"/>
  </r>
  <r>
    <n v="4"/>
    <n v="0.77600000000000002"/>
    <n v="0.70099999999999996"/>
    <n v="554.29999999999995"/>
    <s v="Peak Performance"/>
  </r>
  <r>
    <n v="5"/>
    <n v="0.71499999999999997"/>
    <n v="0.628"/>
    <n v="555.20000000000005"/>
    <s v="Performance Drop"/>
  </r>
  <r>
    <n v="6"/>
    <n v="0.69799999999999995"/>
    <n v="0.6"/>
    <n v="554.79999999999995"/>
    <s v="Fluctuation"/>
  </r>
  <r>
    <n v="7"/>
    <n v="0.71299999999999997"/>
    <n v="0.63400000000000001"/>
    <n v="555"/>
    <s v="Recovering"/>
  </r>
  <r>
    <n v="8"/>
    <n v="0.77200000000000002"/>
    <n v="0.7"/>
    <n v="554.6"/>
    <s v="High Recovery"/>
  </r>
  <r>
    <n v="9"/>
    <n v="0.59299999999999997"/>
    <n v="0.51300000000000001"/>
    <n v="554.9"/>
    <s v="Gradient Instability"/>
  </r>
  <r>
    <n v="10"/>
    <n v="0.754"/>
    <n v="0.66600000000000004"/>
    <n v="555.4"/>
    <s v="Recovering"/>
  </r>
  <r>
    <n v="11"/>
    <n v="0.745"/>
    <n v="0.67600000000000005"/>
    <n v="554.70000000000005"/>
    <s v="Stable"/>
  </r>
  <r>
    <n v="12"/>
    <n v="0.66400000000000003"/>
    <n v="0.55800000000000005"/>
    <n v="555"/>
    <s v="Drop"/>
  </r>
  <r>
    <n v="13"/>
    <n v="0.76300000000000001"/>
    <n v="0.68400000000000005"/>
    <n v="555.29999999999995"/>
    <s v="Recovering"/>
  </r>
  <r>
    <n v="14"/>
    <n v="0.751"/>
    <n v="0.66900000000000004"/>
    <n v="554.4"/>
    <s v="Stable"/>
  </r>
  <r>
    <n v="15"/>
    <n v="0.65300000000000002"/>
    <n v="0.54400000000000004"/>
    <n v="553.6"/>
    <s v="Drop"/>
  </r>
  <r>
    <n v="16"/>
    <n v="0.57699999999999996"/>
    <n v="0.45300000000000001"/>
    <n v="553.9"/>
    <s v="Significant Drop"/>
  </r>
  <r>
    <n v="17"/>
    <n v="0.65"/>
    <n v="0.54100000000000004"/>
    <n v="553.6"/>
    <s v="Recovering"/>
  </r>
  <r>
    <n v="18"/>
    <n v="0.71599999999999997"/>
    <n v="0.63600000000000001"/>
    <n v="553.6"/>
    <s v="Improving"/>
  </r>
  <r>
    <n v="19"/>
    <n v="0.71"/>
    <n v="0.623"/>
    <n v="554.1"/>
    <s v="Stable"/>
  </r>
  <r>
    <n v="20"/>
    <n v="0.64900000000000002"/>
    <n v="0.53300000000000003"/>
    <n v="554.1"/>
    <s v="Drop"/>
  </r>
  <r>
    <n v="21"/>
    <n v="0.51600000000000001"/>
    <n v="0.38500000000000001"/>
    <n v="553.5"/>
    <s v="Lowest Point"/>
  </r>
  <r>
    <n v="22"/>
    <n v="0.65100000000000002"/>
    <n v="0.52800000000000002"/>
    <n v="553.79999999999995"/>
    <s v="Recovering"/>
  </r>
  <r>
    <n v="23"/>
    <n v="0.63600000000000001"/>
    <n v="0.52400000000000002"/>
    <n v="552.9"/>
    <s v="Stable"/>
  </r>
  <r>
    <n v="24"/>
    <n v="0.60099999999999998"/>
    <n v="0.48699999999999999"/>
    <n v="553"/>
    <s v="Drop"/>
  </r>
  <r>
    <n v="25"/>
    <n v="0.76800000000000002"/>
    <n v="0.67600000000000005"/>
    <n v="553"/>
    <s v="Final Recove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6BB3A-E8F4-4F2F-A1D2-7F87452912A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I10" firstHeaderRow="0" firstDataRow="1" firstDataCol="0"/>
  <pivotFields count="5">
    <pivotField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Val Accuracy" fld="1" subtotal="average" baseField="0" baseItem="0"/>
    <dataField name="Average of Val F1 (Macro)" fld="2" subtotal="average" baseField="0" baseItem="0"/>
    <dataField name="Average of Time (s)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EE6FC-51BA-43EA-920F-C52EE0F4D1A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8:J9" firstHeaderRow="0" firstDataRow="1" firstDataCol="0"/>
  <pivotFields count="5">
    <pivotField showAll="0"/>
    <pivotField dataField="1" showAll="0">
      <items count="19">
        <item x="0"/>
        <item x="1"/>
        <item x="2"/>
        <item x="3"/>
        <item x="4"/>
        <item x="5"/>
        <item x="9"/>
        <item x="8"/>
        <item x="7"/>
        <item x="6"/>
        <item x="15"/>
        <item x="10"/>
        <item x="12"/>
        <item x="16"/>
        <item x="11"/>
        <item x="13"/>
        <item x="17"/>
        <item x="14"/>
        <item t="default"/>
      </items>
    </pivotField>
    <pivotField dataField="1"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Val Accuracy" fld="1" subtotal="average" baseField="0" baseItem="0"/>
    <dataField name="Average of Val F1 (Macro)" fld="2" subtotal="average" baseField="0" baseItem="0"/>
    <dataField name="Average Time /epoch" fld="3" subtotal="average" baseField="0" baseItem="0"/>
  </dataFields>
  <formats count="3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C8162-1B8F-49A5-A20D-F2C3A9ADEA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7:J8" firstHeaderRow="0" firstDataRow="1" firstDataCol="0"/>
  <pivotFields count="5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Val Accuracy" fld="1" subtotal="average" baseField="0" baseItem="0"/>
    <dataField name="Average of Val F1 (Macro)" fld="2" subtotal="average" baseField="0" baseItem="0"/>
    <dataField name="Average Time /epoch" fld="3" subtotal="average" baseField="0" baseItem="0"/>
  </dataFields>
  <formats count="4">
    <format dxfId="11">
      <pivotArea outline="0" collapsedLevelsAreSubtotals="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94396-F935-4F78-9DE1-222E6D21D53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8:J9" firstHeaderRow="0" firstDataRow="1" firstDataCol="0"/>
  <pivotFields count="5">
    <pivotField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Val Accuracy" fld="1" subtotal="average" baseField="0" baseItem="0"/>
    <dataField name="Average of Val F1 (Macro)" fld="2" subtotal="average" baseField="0" baseItem="0"/>
    <dataField name="Average Time /epoch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76D5A6-4A5C-4C40-B995-AD4B5C5FEE7F}">
  <we:reference id="WA104379279" version="2.1.0.0" store="Omex" storeType="OMEX"/>
  <we:alternateReferences>
    <we:reference id="WA104379279" version="2.1.0.0" store="WA104379279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6" sqref="A6"/>
    </sheetView>
  </sheetViews>
  <sheetFormatPr defaultRowHeight="14.4" x14ac:dyDescent="0.3"/>
  <cols>
    <col min="1" max="1" width="21.5546875" bestFit="1" customWidth="1"/>
    <col min="2" max="2" width="47" bestFit="1" customWidth="1"/>
  </cols>
  <sheetData>
    <row r="1" spans="1:2" x14ac:dyDescent="0.3">
      <c r="A1" s="9" t="s">
        <v>0</v>
      </c>
      <c r="B1" s="9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1" t="s">
        <v>4</v>
      </c>
    </row>
    <row r="4" spans="1:2" x14ac:dyDescent="0.3">
      <c r="A4" s="2" t="s">
        <v>5</v>
      </c>
      <c r="B4" s="1" t="s">
        <v>6</v>
      </c>
    </row>
    <row r="5" spans="1:2" x14ac:dyDescent="0.3">
      <c r="A5" s="2" t="s">
        <v>7</v>
      </c>
      <c r="B5" s="1" t="s">
        <v>8</v>
      </c>
    </row>
    <row r="6" spans="1:2" x14ac:dyDescent="0.3">
      <c r="A6" s="2" t="s">
        <v>9</v>
      </c>
      <c r="B6" s="1" t="s">
        <v>10</v>
      </c>
    </row>
    <row r="7" spans="1:2" x14ac:dyDescent="0.3">
      <c r="A7" s="2" t="s">
        <v>11</v>
      </c>
      <c r="B7" s="1" t="s">
        <v>12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F8A7-D218-43F3-A52C-DA46515BEF87}">
  <dimension ref="A1:C41"/>
  <sheetViews>
    <sheetView topLeftCell="A2" workbookViewId="0">
      <selection activeCell="B7" sqref="B7"/>
    </sheetView>
  </sheetViews>
  <sheetFormatPr defaultRowHeight="14.4" x14ac:dyDescent="0.3"/>
  <cols>
    <col min="1" max="1" width="34" bestFit="1" customWidth="1"/>
    <col min="2" max="2" width="11.77734375" bestFit="1" customWidth="1"/>
    <col min="3" max="3" width="20.6640625" bestFit="1" customWidth="1"/>
  </cols>
  <sheetData>
    <row r="1" spans="1:3" x14ac:dyDescent="0.3">
      <c r="A1" s="9" t="s">
        <v>13</v>
      </c>
      <c r="B1" s="9"/>
      <c r="C1" s="9"/>
    </row>
    <row r="2" spans="1:3" x14ac:dyDescent="0.3">
      <c r="A2" s="2" t="s">
        <v>14</v>
      </c>
      <c r="B2" s="2" t="s">
        <v>15</v>
      </c>
      <c r="C2" s="2" t="s">
        <v>16</v>
      </c>
    </row>
    <row r="3" spans="1:3" x14ac:dyDescent="0.3">
      <c r="A3" s="1" t="s">
        <v>17</v>
      </c>
      <c r="B3" s="3">
        <v>5507</v>
      </c>
      <c r="C3" s="4">
        <v>0.1014</v>
      </c>
    </row>
    <row r="4" spans="1:3" x14ac:dyDescent="0.3">
      <c r="A4" s="1" t="s">
        <v>18</v>
      </c>
      <c r="B4" s="3">
        <v>5357</v>
      </c>
      <c r="C4" s="4">
        <v>9.8599999999999993E-2</v>
      </c>
    </row>
    <row r="5" spans="1:3" x14ac:dyDescent="0.3">
      <c r="A5" s="1" t="s">
        <v>19</v>
      </c>
      <c r="B5" s="3">
        <v>5090</v>
      </c>
      <c r="C5" s="4">
        <v>9.3700000000000006E-2</v>
      </c>
    </row>
    <row r="6" spans="1:3" x14ac:dyDescent="0.3">
      <c r="A6" s="1" t="s">
        <v>20</v>
      </c>
      <c r="B6" s="3">
        <v>2297</v>
      </c>
      <c r="C6" s="4">
        <v>4.2299999999999997E-2</v>
      </c>
    </row>
    <row r="7" spans="1:3" x14ac:dyDescent="0.3">
      <c r="A7" s="1" t="s">
        <v>21</v>
      </c>
      <c r="B7" s="3">
        <v>2127</v>
      </c>
      <c r="C7" s="4">
        <v>3.9199999999999999E-2</v>
      </c>
    </row>
    <row r="8" spans="1:3" x14ac:dyDescent="0.3">
      <c r="A8" s="1" t="s">
        <v>22</v>
      </c>
      <c r="B8" s="3">
        <v>1909</v>
      </c>
      <c r="C8" s="4">
        <v>3.5200000000000002E-2</v>
      </c>
    </row>
    <row r="9" spans="1:3" x14ac:dyDescent="0.3">
      <c r="A9" s="1" t="s">
        <v>23</v>
      </c>
      <c r="B9" s="3">
        <v>1835</v>
      </c>
      <c r="C9" s="4">
        <v>3.3799999999999997E-2</v>
      </c>
    </row>
    <row r="10" spans="1:3" x14ac:dyDescent="0.3">
      <c r="A10" s="1" t="s">
        <v>24</v>
      </c>
      <c r="B10" s="3">
        <v>1771</v>
      </c>
      <c r="C10" s="4">
        <v>3.2599999999999997E-2</v>
      </c>
    </row>
    <row r="11" spans="1:3" x14ac:dyDescent="0.3">
      <c r="A11" s="1" t="s">
        <v>25</v>
      </c>
      <c r="B11" s="3">
        <v>1676</v>
      </c>
      <c r="C11" s="4">
        <v>3.09E-2</v>
      </c>
    </row>
    <row r="12" spans="1:3" x14ac:dyDescent="0.3">
      <c r="A12" s="1" t="s">
        <v>26</v>
      </c>
      <c r="B12" s="3">
        <v>1645</v>
      </c>
      <c r="C12" s="4">
        <v>3.0300000000000001E-2</v>
      </c>
    </row>
    <row r="13" spans="1:3" x14ac:dyDescent="0.3">
      <c r="A13" s="1" t="s">
        <v>27</v>
      </c>
      <c r="B13" s="3">
        <v>1591</v>
      </c>
      <c r="C13" s="4">
        <v>2.93E-2</v>
      </c>
    </row>
    <row r="14" spans="1:3" x14ac:dyDescent="0.3">
      <c r="A14" s="1" t="s">
        <v>28</v>
      </c>
      <c r="B14" s="3">
        <v>1502</v>
      </c>
      <c r="C14" s="4">
        <v>2.7699999999999999E-2</v>
      </c>
    </row>
    <row r="15" spans="1:3" x14ac:dyDescent="0.3">
      <c r="A15" s="1" t="s">
        <v>29</v>
      </c>
      <c r="B15" s="3">
        <v>1478</v>
      </c>
      <c r="C15" s="4">
        <v>2.7199999999999998E-2</v>
      </c>
    </row>
    <row r="16" spans="1:3" x14ac:dyDescent="0.3">
      <c r="A16" s="1" t="s">
        <v>30</v>
      </c>
      <c r="B16" s="3">
        <v>1404</v>
      </c>
      <c r="C16" s="4">
        <v>2.5899999999999999E-2</v>
      </c>
    </row>
    <row r="17" spans="1:3" x14ac:dyDescent="0.3">
      <c r="A17" s="1" t="s">
        <v>31</v>
      </c>
      <c r="B17" s="3">
        <v>1383</v>
      </c>
      <c r="C17" s="4">
        <v>2.5499999999999998E-2</v>
      </c>
    </row>
    <row r="18" spans="1:3" x14ac:dyDescent="0.3">
      <c r="A18" s="1" t="s">
        <v>32</v>
      </c>
      <c r="B18" s="3">
        <v>1192</v>
      </c>
      <c r="C18" s="4">
        <v>2.1999999999999999E-2</v>
      </c>
    </row>
    <row r="19" spans="1:3" x14ac:dyDescent="0.3">
      <c r="A19" s="1" t="s">
        <v>33</v>
      </c>
      <c r="B19" s="3">
        <v>1180</v>
      </c>
      <c r="C19" s="4">
        <v>2.1700000000000001E-2</v>
      </c>
    </row>
    <row r="20" spans="1:3" x14ac:dyDescent="0.3">
      <c r="A20" s="1" t="s">
        <v>34</v>
      </c>
      <c r="B20" s="3">
        <v>1162</v>
      </c>
      <c r="C20" s="4">
        <v>2.1399999999999999E-2</v>
      </c>
    </row>
    <row r="21" spans="1:3" x14ac:dyDescent="0.3">
      <c r="A21" s="1" t="s">
        <v>35</v>
      </c>
      <c r="B21" s="3">
        <v>1109</v>
      </c>
      <c r="C21" s="4">
        <v>2.0400000000000001E-2</v>
      </c>
    </row>
    <row r="22" spans="1:3" x14ac:dyDescent="0.3">
      <c r="A22" s="1" t="s">
        <v>36</v>
      </c>
      <c r="B22" s="3">
        <v>1076</v>
      </c>
      <c r="C22" s="4">
        <v>1.9800000000000002E-2</v>
      </c>
    </row>
    <row r="23" spans="1:3" x14ac:dyDescent="0.3">
      <c r="A23" s="1" t="s">
        <v>37</v>
      </c>
      <c r="B23" s="3">
        <v>1052</v>
      </c>
      <c r="C23" s="4">
        <v>1.9400000000000001E-2</v>
      </c>
    </row>
    <row r="24" spans="1:3" x14ac:dyDescent="0.3">
      <c r="A24" s="1" t="s">
        <v>38</v>
      </c>
      <c r="B24" s="3">
        <v>1000</v>
      </c>
      <c r="C24" s="4">
        <v>1.84E-2</v>
      </c>
    </row>
    <row r="25" spans="1:3" x14ac:dyDescent="0.3">
      <c r="A25" s="1" t="s">
        <v>39</v>
      </c>
      <c r="B25" s="3">
        <v>1000</v>
      </c>
      <c r="C25" s="4">
        <v>1.84E-2</v>
      </c>
    </row>
    <row r="26" spans="1:3" x14ac:dyDescent="0.3">
      <c r="A26" s="1" t="s">
        <v>40</v>
      </c>
      <c r="B26" s="3">
        <v>1000</v>
      </c>
      <c r="C26" s="4">
        <v>1.84E-2</v>
      </c>
    </row>
    <row r="27" spans="1:3" x14ac:dyDescent="0.3">
      <c r="A27" s="1" t="s">
        <v>41</v>
      </c>
      <c r="B27" s="1">
        <v>997</v>
      </c>
      <c r="C27" s="4">
        <v>1.84E-2</v>
      </c>
    </row>
    <row r="28" spans="1:3" x14ac:dyDescent="0.3">
      <c r="A28" s="1" t="s">
        <v>42</v>
      </c>
      <c r="B28" s="1">
        <v>985</v>
      </c>
      <c r="C28" s="4">
        <v>1.8100000000000002E-2</v>
      </c>
    </row>
    <row r="29" spans="1:3" x14ac:dyDescent="0.3">
      <c r="A29" s="1" t="s">
        <v>43</v>
      </c>
      <c r="B29" s="1">
        <v>952</v>
      </c>
      <c r="C29" s="4">
        <v>1.7500000000000002E-2</v>
      </c>
    </row>
    <row r="30" spans="1:3" x14ac:dyDescent="0.3">
      <c r="A30" s="1" t="s">
        <v>44</v>
      </c>
      <c r="B30" s="1">
        <v>854</v>
      </c>
      <c r="C30" s="4">
        <v>1.5699999999999999E-2</v>
      </c>
    </row>
    <row r="31" spans="1:3" x14ac:dyDescent="0.3">
      <c r="A31" s="1" t="s">
        <v>45</v>
      </c>
      <c r="B31" s="1">
        <v>630</v>
      </c>
      <c r="C31" s="4">
        <v>1.1599999999999999E-2</v>
      </c>
    </row>
    <row r="32" spans="1:3" x14ac:dyDescent="0.3">
      <c r="A32" s="1" t="s">
        <v>46</v>
      </c>
      <c r="B32" s="1">
        <v>621</v>
      </c>
      <c r="C32" s="4">
        <v>1.14E-2</v>
      </c>
    </row>
    <row r="33" spans="1:3" x14ac:dyDescent="0.3">
      <c r="A33" s="1" t="s">
        <v>47</v>
      </c>
      <c r="B33" s="1">
        <v>513</v>
      </c>
      <c r="C33" s="4">
        <v>9.4000000000000004E-3</v>
      </c>
    </row>
    <row r="34" spans="1:3" x14ac:dyDescent="0.3">
      <c r="A34" s="1" t="s">
        <v>48</v>
      </c>
      <c r="B34" s="1">
        <v>456</v>
      </c>
      <c r="C34" s="4">
        <v>8.3999999999999995E-3</v>
      </c>
    </row>
    <row r="35" spans="1:3" x14ac:dyDescent="0.3">
      <c r="A35" s="1" t="s">
        <v>49</v>
      </c>
      <c r="B35" s="1">
        <v>423</v>
      </c>
      <c r="C35" s="4">
        <v>7.7999999999999996E-3</v>
      </c>
    </row>
    <row r="36" spans="1:3" x14ac:dyDescent="0.3">
      <c r="A36" s="1" t="s">
        <v>50</v>
      </c>
      <c r="B36" s="1">
        <v>373</v>
      </c>
      <c r="C36" s="4">
        <v>6.8999999999999999E-3</v>
      </c>
    </row>
    <row r="37" spans="1:3" x14ac:dyDescent="0.3">
      <c r="A37" s="1" t="s">
        <v>51</v>
      </c>
      <c r="B37" s="1">
        <v>371</v>
      </c>
      <c r="C37" s="4">
        <v>6.7999999999999996E-3</v>
      </c>
    </row>
    <row r="38" spans="1:3" x14ac:dyDescent="0.3">
      <c r="A38" s="1" t="s">
        <v>52</v>
      </c>
      <c r="B38" s="1">
        <v>360</v>
      </c>
      <c r="C38" s="4">
        <v>6.6E-3</v>
      </c>
    </row>
    <row r="39" spans="1:3" x14ac:dyDescent="0.3">
      <c r="A39" s="1" t="s">
        <v>53</v>
      </c>
      <c r="B39" s="1">
        <v>275</v>
      </c>
      <c r="C39" s="4">
        <v>5.1000000000000004E-3</v>
      </c>
    </row>
    <row r="40" spans="1:3" x14ac:dyDescent="0.3">
      <c r="A40" s="1" t="s">
        <v>54</v>
      </c>
      <c r="B40" s="1">
        <v>152</v>
      </c>
      <c r="C40" s="4">
        <v>2.8E-3</v>
      </c>
    </row>
    <row r="41" spans="1:3" x14ac:dyDescent="0.3">
      <c r="A41" s="1" t="s">
        <v>3</v>
      </c>
      <c r="B41" s="3">
        <v>54305</v>
      </c>
      <c r="C41" s="4">
        <v>1</v>
      </c>
    </row>
  </sheetData>
  <mergeCells count="1">
    <mergeCell ref="A1:C1"/>
  </mergeCells>
  <conditionalFormatting sqref="B3:B4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{5075211B-6B8B-42D6-B9B9-270CB7247B72}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75211B-6B8B-42D6-B9B9-270CB7247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EBF3-2DAC-42DF-9C73-E0345E8C12E3}">
  <dimension ref="A1:J27"/>
  <sheetViews>
    <sheetView workbookViewId="0">
      <selection activeCell="G4" sqref="G1:I4"/>
    </sheetView>
  </sheetViews>
  <sheetFormatPr defaultRowHeight="14.4" x14ac:dyDescent="0.3"/>
  <cols>
    <col min="1" max="1" width="6.21875" bestFit="1" customWidth="1"/>
    <col min="2" max="2" width="11.77734375" bestFit="1" customWidth="1"/>
    <col min="3" max="3" width="13.33203125" bestFit="1" customWidth="1"/>
    <col min="4" max="4" width="8.109375" bestFit="1" customWidth="1"/>
    <col min="5" max="5" width="16.6640625" bestFit="1" customWidth="1"/>
    <col min="7" max="7" width="21.6640625" bestFit="1" customWidth="1"/>
    <col min="8" max="8" width="23.109375" bestFit="1" customWidth="1"/>
    <col min="9" max="9" width="17.44140625" bestFit="1" customWidth="1"/>
    <col min="10" max="10" width="54.44140625" bestFit="1" customWidth="1"/>
  </cols>
  <sheetData>
    <row r="1" spans="1:10" x14ac:dyDescent="0.3">
      <c r="A1" s="9" t="s">
        <v>105</v>
      </c>
      <c r="B1" s="9"/>
      <c r="C1" s="9"/>
      <c r="D1" s="9"/>
      <c r="E1" s="9"/>
      <c r="G1" s="9" t="s">
        <v>107</v>
      </c>
      <c r="H1" s="9"/>
      <c r="I1" s="9"/>
      <c r="J1" s="5"/>
    </row>
    <row r="2" spans="1:10" x14ac:dyDescent="0.3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G2" s="2" t="s">
        <v>73</v>
      </c>
      <c r="H2" s="2" t="s">
        <v>108</v>
      </c>
      <c r="I2" s="2" t="s">
        <v>98</v>
      </c>
    </row>
    <row r="3" spans="1:10" x14ac:dyDescent="0.3">
      <c r="A3" s="1">
        <v>1</v>
      </c>
      <c r="B3" s="1">
        <v>0.74099999999999999</v>
      </c>
      <c r="C3" s="1">
        <v>0.64600000000000002</v>
      </c>
      <c r="D3" s="1">
        <v>552.9</v>
      </c>
      <c r="E3" s="1" t="s">
        <v>60</v>
      </c>
      <c r="G3" s="1" t="s">
        <v>103</v>
      </c>
      <c r="H3" s="4">
        <v>0.77200000000000002</v>
      </c>
      <c r="I3" t="s">
        <v>101</v>
      </c>
    </row>
    <row r="4" spans="1:10" x14ac:dyDescent="0.3">
      <c r="A4" s="1">
        <v>2</v>
      </c>
      <c r="B4" s="1">
        <v>0.73299999999999998</v>
      </c>
      <c r="C4" s="1">
        <v>0.64700000000000002</v>
      </c>
      <c r="D4" s="1">
        <v>552.6</v>
      </c>
      <c r="E4" s="1" t="s">
        <v>61</v>
      </c>
      <c r="G4" s="1" t="s">
        <v>104</v>
      </c>
      <c r="H4" s="4">
        <v>0.68940000000000001</v>
      </c>
      <c r="I4" t="s">
        <v>102</v>
      </c>
    </row>
    <row r="5" spans="1:10" x14ac:dyDescent="0.3">
      <c r="A5" s="1">
        <v>3</v>
      </c>
      <c r="B5" s="1">
        <v>0.77300000000000002</v>
      </c>
      <c r="C5" s="1">
        <v>0.69499999999999995</v>
      </c>
      <c r="D5" s="1">
        <v>554.29999999999995</v>
      </c>
      <c r="E5" s="1" t="s">
        <v>62</v>
      </c>
      <c r="G5" s="1"/>
      <c r="H5" s="1"/>
      <c r="I5" s="1"/>
    </row>
    <row r="6" spans="1:10" x14ac:dyDescent="0.3">
      <c r="A6" s="1">
        <v>4</v>
      </c>
      <c r="B6" s="1">
        <v>0.77600000000000002</v>
      </c>
      <c r="C6" s="1">
        <v>0.70099999999999996</v>
      </c>
      <c r="D6" s="1">
        <v>554.29999999999995</v>
      </c>
      <c r="E6" s="1" t="s">
        <v>63</v>
      </c>
    </row>
    <row r="7" spans="1:10" x14ac:dyDescent="0.3">
      <c r="A7" s="1">
        <v>5</v>
      </c>
      <c r="B7" s="1">
        <v>0.71499999999999997</v>
      </c>
      <c r="C7" s="1">
        <v>0.628</v>
      </c>
      <c r="D7" s="1">
        <v>555.20000000000005</v>
      </c>
      <c r="E7" s="1" t="s">
        <v>64</v>
      </c>
    </row>
    <row r="8" spans="1:10" x14ac:dyDescent="0.3">
      <c r="A8" s="1">
        <v>6</v>
      </c>
      <c r="B8" s="1">
        <v>0.69799999999999995</v>
      </c>
      <c r="C8" s="1">
        <v>0.6</v>
      </c>
      <c r="D8" s="1">
        <v>554.79999999999995</v>
      </c>
      <c r="E8" s="1" t="s">
        <v>65</v>
      </c>
      <c r="G8" s="9" t="s">
        <v>107</v>
      </c>
      <c r="H8" s="9"/>
      <c r="I8" s="9"/>
    </row>
    <row r="9" spans="1:10" x14ac:dyDescent="0.3">
      <c r="A9" s="1">
        <v>7</v>
      </c>
      <c r="B9" s="1">
        <v>0.71299999999999997</v>
      </c>
      <c r="C9" s="1">
        <v>0.63400000000000001</v>
      </c>
      <c r="D9" s="1">
        <v>555</v>
      </c>
      <c r="E9" s="1" t="s">
        <v>66</v>
      </c>
      <c r="G9" t="s">
        <v>109</v>
      </c>
      <c r="H9" t="s">
        <v>110</v>
      </c>
      <c r="I9" t="s">
        <v>123</v>
      </c>
    </row>
    <row r="10" spans="1:10" x14ac:dyDescent="0.3">
      <c r="A10" s="1">
        <v>8</v>
      </c>
      <c r="B10" s="1">
        <v>0.77200000000000002</v>
      </c>
      <c r="C10" s="1">
        <v>0.7</v>
      </c>
      <c r="D10" s="1">
        <v>554.6</v>
      </c>
      <c r="E10" s="1" t="s">
        <v>67</v>
      </c>
      <c r="G10">
        <v>0.69272</v>
      </c>
      <c r="H10">
        <v>0.59787999999999997</v>
      </c>
      <c r="I10">
        <v>554.1</v>
      </c>
    </row>
    <row r="11" spans="1:10" x14ac:dyDescent="0.3">
      <c r="A11" s="1">
        <v>9</v>
      </c>
      <c r="B11" s="1">
        <v>0.59299999999999997</v>
      </c>
      <c r="C11" s="1">
        <v>0.51300000000000001</v>
      </c>
      <c r="D11" s="1">
        <v>554.9</v>
      </c>
      <c r="E11" s="1" t="s">
        <v>68</v>
      </c>
    </row>
    <row r="12" spans="1:10" x14ac:dyDescent="0.3">
      <c r="A12" s="1">
        <v>10</v>
      </c>
      <c r="B12" s="1">
        <v>0.754</v>
      </c>
      <c r="C12" s="1">
        <v>0.66600000000000004</v>
      </c>
      <c r="D12" s="1">
        <v>555.4</v>
      </c>
      <c r="E12" s="1" t="s">
        <v>66</v>
      </c>
    </row>
    <row r="13" spans="1:10" x14ac:dyDescent="0.3">
      <c r="A13" s="1">
        <v>11</v>
      </c>
      <c r="B13" s="1">
        <v>0.745</v>
      </c>
      <c r="C13" s="1">
        <v>0.67600000000000005</v>
      </c>
      <c r="D13" s="1">
        <v>554.70000000000005</v>
      </c>
      <c r="E13" s="1" t="s">
        <v>61</v>
      </c>
    </row>
    <row r="14" spans="1:10" x14ac:dyDescent="0.3">
      <c r="A14" s="1">
        <v>12</v>
      </c>
      <c r="B14" s="1">
        <v>0.66400000000000003</v>
      </c>
      <c r="C14" s="1">
        <v>0.55800000000000005</v>
      </c>
      <c r="D14" s="1">
        <v>555</v>
      </c>
      <c r="E14" s="1" t="s">
        <v>69</v>
      </c>
    </row>
    <row r="15" spans="1:10" x14ac:dyDescent="0.3">
      <c r="A15" s="1">
        <v>13</v>
      </c>
      <c r="B15" s="1">
        <v>0.76300000000000001</v>
      </c>
      <c r="C15" s="1">
        <v>0.68400000000000005</v>
      </c>
      <c r="D15" s="1">
        <v>555.29999999999995</v>
      </c>
      <c r="E15" s="1" t="s">
        <v>66</v>
      </c>
    </row>
    <row r="16" spans="1:10" x14ac:dyDescent="0.3">
      <c r="A16" s="1">
        <v>14</v>
      </c>
      <c r="B16" s="1">
        <v>0.751</v>
      </c>
      <c r="C16" s="1">
        <v>0.66900000000000004</v>
      </c>
      <c r="D16" s="1">
        <v>554.4</v>
      </c>
      <c r="E16" s="1" t="s">
        <v>61</v>
      </c>
    </row>
    <row r="17" spans="1:5" x14ac:dyDescent="0.3">
      <c r="A17" s="1">
        <v>15</v>
      </c>
      <c r="B17" s="1">
        <v>0.65300000000000002</v>
      </c>
      <c r="C17" s="1">
        <v>0.54400000000000004</v>
      </c>
      <c r="D17" s="1">
        <v>553.6</v>
      </c>
      <c r="E17" s="1" t="s">
        <v>69</v>
      </c>
    </row>
    <row r="18" spans="1:5" x14ac:dyDescent="0.3">
      <c r="A18" s="1">
        <v>16</v>
      </c>
      <c r="B18" s="1">
        <v>0.57699999999999996</v>
      </c>
      <c r="C18" s="1">
        <v>0.45300000000000001</v>
      </c>
      <c r="D18" s="1">
        <v>553.9</v>
      </c>
      <c r="E18" s="1" t="s">
        <v>70</v>
      </c>
    </row>
    <row r="19" spans="1:5" x14ac:dyDescent="0.3">
      <c r="A19" s="1">
        <v>17</v>
      </c>
      <c r="B19" s="1">
        <v>0.65</v>
      </c>
      <c r="C19" s="1">
        <v>0.54100000000000004</v>
      </c>
      <c r="D19" s="1">
        <v>553.6</v>
      </c>
      <c r="E19" s="1" t="s">
        <v>66</v>
      </c>
    </row>
    <row r="20" spans="1:5" x14ac:dyDescent="0.3">
      <c r="A20" s="1">
        <v>18</v>
      </c>
      <c r="B20" s="1">
        <v>0.71599999999999997</v>
      </c>
      <c r="C20" s="1">
        <v>0.63600000000000001</v>
      </c>
      <c r="D20" s="1">
        <v>553.6</v>
      </c>
      <c r="E20" s="1" t="s">
        <v>62</v>
      </c>
    </row>
    <row r="21" spans="1:5" x14ac:dyDescent="0.3">
      <c r="A21" s="1">
        <v>19</v>
      </c>
      <c r="B21" s="1">
        <v>0.71</v>
      </c>
      <c r="C21" s="1">
        <v>0.623</v>
      </c>
      <c r="D21" s="1">
        <v>554.1</v>
      </c>
      <c r="E21" s="1" t="s">
        <v>61</v>
      </c>
    </row>
    <row r="22" spans="1:5" x14ac:dyDescent="0.3">
      <c r="A22" s="1">
        <v>20</v>
      </c>
      <c r="B22" s="1">
        <v>0.64900000000000002</v>
      </c>
      <c r="C22" s="1">
        <v>0.53300000000000003</v>
      </c>
      <c r="D22" s="1">
        <v>554.1</v>
      </c>
      <c r="E22" s="1" t="s">
        <v>69</v>
      </c>
    </row>
    <row r="23" spans="1:5" x14ac:dyDescent="0.3">
      <c r="A23" s="1">
        <v>21</v>
      </c>
      <c r="B23" s="1">
        <v>0.51600000000000001</v>
      </c>
      <c r="C23" s="1">
        <v>0.38500000000000001</v>
      </c>
      <c r="D23" s="1">
        <v>553.5</v>
      </c>
      <c r="E23" s="1" t="s">
        <v>71</v>
      </c>
    </row>
    <row r="24" spans="1:5" x14ac:dyDescent="0.3">
      <c r="A24" s="1">
        <v>22</v>
      </c>
      <c r="B24" s="1">
        <v>0.65100000000000002</v>
      </c>
      <c r="C24" s="1">
        <v>0.52800000000000002</v>
      </c>
      <c r="D24" s="1">
        <v>553.79999999999995</v>
      </c>
      <c r="E24" s="1" t="s">
        <v>66</v>
      </c>
    </row>
    <row r="25" spans="1:5" x14ac:dyDescent="0.3">
      <c r="A25" s="1">
        <v>23</v>
      </c>
      <c r="B25" s="1">
        <v>0.63600000000000001</v>
      </c>
      <c r="C25" s="1">
        <v>0.52400000000000002</v>
      </c>
      <c r="D25" s="1">
        <v>552.9</v>
      </c>
      <c r="E25" s="1" t="s">
        <v>61</v>
      </c>
    </row>
    <row r="26" spans="1:5" x14ac:dyDescent="0.3">
      <c r="A26" s="1">
        <v>24</v>
      </c>
      <c r="B26" s="1">
        <v>0.60099999999999998</v>
      </c>
      <c r="C26" s="1">
        <v>0.48699999999999999</v>
      </c>
      <c r="D26" s="1">
        <v>553</v>
      </c>
      <c r="E26" s="1" t="s">
        <v>69</v>
      </c>
    </row>
    <row r="27" spans="1:5" x14ac:dyDescent="0.3">
      <c r="A27" s="1">
        <v>25</v>
      </c>
      <c r="B27" s="1">
        <v>0.76800000000000002</v>
      </c>
      <c r="C27" s="1">
        <v>0.67600000000000005</v>
      </c>
      <c r="D27" s="1">
        <v>553</v>
      </c>
      <c r="E27" s="1" t="s">
        <v>72</v>
      </c>
    </row>
  </sheetData>
  <mergeCells count="3">
    <mergeCell ref="A1:E1"/>
    <mergeCell ref="G1:I1"/>
    <mergeCell ref="G8:I8"/>
  </mergeCells>
  <conditionalFormatting sqref="B3:C27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E3:E27">
    <cfRule type="uniqueValues" dxfId="7" priority="2"/>
    <cfRule type="duplicateValues" dxfId="6" priority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3544A5A-8897-4A56-A3D7-13445EEB6609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A3:A27 D3:D27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786C-B0A4-4958-828B-D0C3C9FDF8EE}">
  <dimension ref="A1:K27"/>
  <sheetViews>
    <sheetView workbookViewId="0">
      <selection activeCell="H1" sqref="H1:J4"/>
    </sheetView>
  </sheetViews>
  <sheetFormatPr defaultRowHeight="14.4" x14ac:dyDescent="0.3"/>
  <cols>
    <col min="1" max="1" width="6.21875" style="1" bestFit="1" customWidth="1"/>
    <col min="2" max="2" width="11.77734375" style="1" bestFit="1" customWidth="1"/>
    <col min="3" max="3" width="13.33203125" style="1" bestFit="1" customWidth="1"/>
    <col min="4" max="4" width="8.109375" style="1" bestFit="1" customWidth="1"/>
    <col min="5" max="5" width="18.44140625" style="1" bestFit="1" customWidth="1"/>
    <col min="6" max="7" width="8.88671875" style="1"/>
    <col min="8" max="8" width="21.6640625" style="1" bestFit="1" customWidth="1"/>
    <col min="9" max="9" width="23.109375" style="1" bestFit="1" customWidth="1"/>
    <col min="10" max="11" width="37.21875" style="1" bestFit="1" customWidth="1"/>
    <col min="12" max="16384" width="8.88671875" style="1"/>
  </cols>
  <sheetData>
    <row r="1" spans="1:11" x14ac:dyDescent="0.3">
      <c r="A1" s="9" t="s">
        <v>106</v>
      </c>
      <c r="B1" s="9"/>
      <c r="C1" s="9"/>
      <c r="D1" s="9"/>
      <c r="E1" s="9"/>
      <c r="H1" s="9" t="s">
        <v>81</v>
      </c>
      <c r="I1" s="9"/>
      <c r="J1" s="9"/>
      <c r="K1" s="2"/>
    </row>
    <row r="2" spans="1:11" x14ac:dyDescent="0.3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H2" s="2" t="s">
        <v>73</v>
      </c>
      <c r="I2" s="2" t="s">
        <v>108</v>
      </c>
      <c r="J2" s="2" t="s">
        <v>98</v>
      </c>
    </row>
    <row r="3" spans="1:11" x14ac:dyDescent="0.3">
      <c r="A3" s="1">
        <v>1</v>
      </c>
      <c r="B3" s="1">
        <v>0.86799999999999999</v>
      </c>
      <c r="C3" s="1">
        <v>0.80700000000000005</v>
      </c>
      <c r="D3" s="1">
        <v>424.2</v>
      </c>
      <c r="E3" s="1" t="s">
        <v>60</v>
      </c>
      <c r="H3" s="1" t="s">
        <v>82</v>
      </c>
      <c r="I3" s="4">
        <v>0.97850000000000004</v>
      </c>
      <c r="J3" s="1" t="s">
        <v>83</v>
      </c>
    </row>
    <row r="4" spans="1:11" x14ac:dyDescent="0.3">
      <c r="A4" s="1">
        <v>2</v>
      </c>
      <c r="B4" s="1">
        <v>0.91400000000000003</v>
      </c>
      <c r="C4" s="1">
        <v>0.89</v>
      </c>
      <c r="D4" s="1">
        <v>182.8</v>
      </c>
      <c r="E4" s="1" t="s">
        <v>74</v>
      </c>
      <c r="H4" s="1" t="s">
        <v>84</v>
      </c>
      <c r="I4" s="4">
        <v>0.97219999999999995</v>
      </c>
      <c r="J4" s="1" t="s">
        <v>85</v>
      </c>
    </row>
    <row r="5" spans="1:11" x14ac:dyDescent="0.3">
      <c r="A5" s="1">
        <v>3</v>
      </c>
      <c r="B5" s="1">
        <v>0.91800000000000004</v>
      </c>
      <c r="C5" s="1">
        <v>0.88800000000000001</v>
      </c>
      <c r="D5" s="1">
        <v>181.1</v>
      </c>
      <c r="E5" s="1" t="s">
        <v>75</v>
      </c>
    </row>
    <row r="6" spans="1:11" x14ac:dyDescent="0.3">
      <c r="A6" s="1">
        <v>4</v>
      </c>
      <c r="B6" s="1">
        <v>0.92700000000000005</v>
      </c>
      <c r="C6" s="1">
        <v>0.89700000000000002</v>
      </c>
      <c r="D6" s="1">
        <v>182.8</v>
      </c>
      <c r="E6" s="1" t="s">
        <v>62</v>
      </c>
    </row>
    <row r="7" spans="1:11" x14ac:dyDescent="0.3">
      <c r="A7" s="1">
        <v>5</v>
      </c>
      <c r="B7" s="1">
        <v>0.93899999999999995</v>
      </c>
      <c r="C7" s="1">
        <v>0.91700000000000004</v>
      </c>
      <c r="D7" s="1">
        <v>181</v>
      </c>
      <c r="E7" s="1" t="s">
        <v>77</v>
      </c>
      <c r="H7" s="9" t="s">
        <v>81</v>
      </c>
      <c r="I7" s="9"/>
      <c r="J7" s="9"/>
    </row>
    <row r="8" spans="1:11" x14ac:dyDescent="0.3">
      <c r="A8" s="1">
        <v>6</v>
      </c>
      <c r="B8" s="1">
        <v>0.94599999999999995</v>
      </c>
      <c r="C8" s="1">
        <v>0.93</v>
      </c>
      <c r="D8" s="1">
        <v>180</v>
      </c>
      <c r="E8" s="1" t="s">
        <v>78</v>
      </c>
      <c r="H8" s="1" t="s">
        <v>109</v>
      </c>
      <c r="I8" s="1" t="s">
        <v>110</v>
      </c>
      <c r="J8" s="1" t="s">
        <v>124</v>
      </c>
    </row>
    <row r="9" spans="1:11" x14ac:dyDescent="0.3">
      <c r="A9" s="1">
        <v>7</v>
      </c>
      <c r="B9" s="1">
        <v>0.96899999999999997</v>
      </c>
      <c r="C9" s="1">
        <v>0.96</v>
      </c>
      <c r="D9" s="1">
        <v>180.8</v>
      </c>
      <c r="E9" s="1" t="s">
        <v>61</v>
      </c>
      <c r="H9" s="1">
        <v>0.96072000000000002</v>
      </c>
      <c r="I9" s="1">
        <v>0.94620000000000004</v>
      </c>
      <c r="J9" s="1">
        <v>191.64800000000002</v>
      </c>
    </row>
    <row r="10" spans="1:11" x14ac:dyDescent="0.3">
      <c r="A10" s="1">
        <v>8</v>
      </c>
      <c r="B10" s="1">
        <v>0.96799999999999997</v>
      </c>
      <c r="C10" s="1">
        <v>0.95799999999999996</v>
      </c>
      <c r="D10" s="1">
        <v>180.9</v>
      </c>
      <c r="E10" s="1" t="s">
        <v>61</v>
      </c>
    </row>
    <row r="11" spans="1:11" x14ac:dyDescent="0.3">
      <c r="A11" s="1">
        <v>9</v>
      </c>
      <c r="B11" s="1">
        <v>0.96699999999999997</v>
      </c>
      <c r="C11" s="1">
        <v>0.95399999999999996</v>
      </c>
      <c r="D11" s="1">
        <v>181.2</v>
      </c>
      <c r="E11" s="1" t="s">
        <v>61</v>
      </c>
    </row>
    <row r="12" spans="1:11" x14ac:dyDescent="0.3">
      <c r="A12" s="1">
        <v>10</v>
      </c>
      <c r="B12" s="1">
        <v>0.96699999999999997</v>
      </c>
      <c r="C12" s="1">
        <v>0.95599999999999996</v>
      </c>
      <c r="D12" s="1">
        <v>183.2</v>
      </c>
      <c r="E12" s="1" t="s">
        <v>61</v>
      </c>
    </row>
    <row r="13" spans="1:11" x14ac:dyDescent="0.3">
      <c r="A13" s="1">
        <v>11</v>
      </c>
      <c r="B13" s="1">
        <v>0.96599999999999997</v>
      </c>
      <c r="C13" s="1">
        <v>0.95599999999999996</v>
      </c>
      <c r="D13" s="1">
        <v>184.5</v>
      </c>
      <c r="E13" s="1" t="s">
        <v>61</v>
      </c>
    </row>
    <row r="14" spans="1:11" x14ac:dyDescent="0.3">
      <c r="A14" s="1">
        <v>12</v>
      </c>
      <c r="B14" s="1">
        <v>0.97299999999999998</v>
      </c>
      <c r="C14" s="1">
        <v>0.96199999999999997</v>
      </c>
      <c r="D14" s="1">
        <v>182.8</v>
      </c>
      <c r="E14" s="1" t="s">
        <v>62</v>
      </c>
    </row>
    <row r="15" spans="1:11" x14ac:dyDescent="0.3">
      <c r="A15" s="1">
        <v>13</v>
      </c>
      <c r="B15" s="1">
        <v>0.97699999999999998</v>
      </c>
      <c r="C15" s="1">
        <v>0.96799999999999997</v>
      </c>
      <c r="D15" s="1">
        <v>183.5</v>
      </c>
      <c r="E15" s="1" t="s">
        <v>62</v>
      </c>
    </row>
    <row r="16" spans="1:11" x14ac:dyDescent="0.3">
      <c r="A16" s="1">
        <v>14</v>
      </c>
      <c r="B16" s="1">
        <v>0.97399999999999998</v>
      </c>
      <c r="C16" s="1">
        <v>0.96399999999999997</v>
      </c>
      <c r="D16" s="1">
        <v>183.4</v>
      </c>
      <c r="E16" s="1" t="s">
        <v>61</v>
      </c>
    </row>
    <row r="17" spans="1:5" x14ac:dyDescent="0.3">
      <c r="A17" s="1">
        <v>15</v>
      </c>
      <c r="B17" s="1">
        <v>0.97399999999999998</v>
      </c>
      <c r="C17" s="1">
        <v>0.96499999999999997</v>
      </c>
      <c r="D17" s="1">
        <v>182.3</v>
      </c>
      <c r="E17" s="1" t="s">
        <v>61</v>
      </c>
    </row>
    <row r="18" spans="1:5" x14ac:dyDescent="0.3">
      <c r="A18" s="1">
        <v>16</v>
      </c>
      <c r="B18" s="1">
        <v>0.97799999999999998</v>
      </c>
      <c r="C18" s="1">
        <v>0.97099999999999997</v>
      </c>
      <c r="D18" s="1">
        <v>182.7</v>
      </c>
      <c r="E18" s="1" t="s">
        <v>76</v>
      </c>
    </row>
    <row r="19" spans="1:5" x14ac:dyDescent="0.3">
      <c r="A19" s="1">
        <v>17</v>
      </c>
      <c r="B19" s="1">
        <v>0.98</v>
      </c>
      <c r="C19" s="1">
        <v>0.97699999999999998</v>
      </c>
      <c r="D19" s="1">
        <v>182</v>
      </c>
      <c r="E19" s="1" t="s">
        <v>79</v>
      </c>
    </row>
    <row r="20" spans="1:5" x14ac:dyDescent="0.3">
      <c r="A20" s="1">
        <v>18</v>
      </c>
      <c r="B20" s="1">
        <v>0.97699999999999998</v>
      </c>
      <c r="C20" s="1">
        <v>0.96899999999999997</v>
      </c>
      <c r="D20" s="1">
        <v>183.2</v>
      </c>
      <c r="E20" s="1" t="s">
        <v>65</v>
      </c>
    </row>
    <row r="21" spans="1:5" x14ac:dyDescent="0.3">
      <c r="A21" s="1">
        <v>19</v>
      </c>
      <c r="B21" s="1">
        <v>0.97</v>
      </c>
      <c r="C21" s="1">
        <v>0.95599999999999996</v>
      </c>
      <c r="D21" s="1">
        <v>182</v>
      </c>
      <c r="E21" s="1" t="s">
        <v>65</v>
      </c>
    </row>
    <row r="22" spans="1:5" x14ac:dyDescent="0.3">
      <c r="A22" s="1">
        <v>20</v>
      </c>
      <c r="B22" s="1">
        <v>0.97599999999999998</v>
      </c>
      <c r="C22" s="1">
        <v>0.96799999999999997</v>
      </c>
      <c r="D22" s="1">
        <v>182.2</v>
      </c>
      <c r="E22" s="1" t="s">
        <v>66</v>
      </c>
    </row>
    <row r="23" spans="1:5" x14ac:dyDescent="0.3">
      <c r="A23" s="1">
        <v>21</v>
      </c>
      <c r="B23" s="1">
        <v>0.97599999999999998</v>
      </c>
      <c r="C23" s="1">
        <v>0.96599999999999997</v>
      </c>
      <c r="D23" s="1">
        <v>182.1</v>
      </c>
      <c r="E23" s="1" t="s">
        <v>61</v>
      </c>
    </row>
    <row r="24" spans="1:5" x14ac:dyDescent="0.3">
      <c r="A24" s="1">
        <v>22</v>
      </c>
      <c r="B24" s="1">
        <v>0.97899999999999998</v>
      </c>
      <c r="C24" s="1">
        <v>0.96599999999999997</v>
      </c>
      <c r="D24" s="1">
        <v>180.6</v>
      </c>
      <c r="E24" s="1" t="s">
        <v>61</v>
      </c>
    </row>
    <row r="25" spans="1:5" x14ac:dyDescent="0.3">
      <c r="A25" s="1">
        <v>23</v>
      </c>
      <c r="B25" s="1">
        <v>0.97799999999999998</v>
      </c>
      <c r="C25" s="1">
        <v>0.97199999999999998</v>
      </c>
      <c r="D25" s="1">
        <v>181.1</v>
      </c>
      <c r="E25" s="1" t="s">
        <v>61</v>
      </c>
    </row>
    <row r="26" spans="1:5" x14ac:dyDescent="0.3">
      <c r="A26" s="1">
        <v>24</v>
      </c>
      <c r="B26" s="1">
        <v>0.97899999999999998</v>
      </c>
      <c r="C26" s="1">
        <v>0.97099999999999997</v>
      </c>
      <c r="D26" s="1">
        <v>180.3</v>
      </c>
      <c r="E26" s="1" t="s">
        <v>61</v>
      </c>
    </row>
    <row r="27" spans="1:5" x14ac:dyDescent="0.3">
      <c r="A27" s="1">
        <v>25</v>
      </c>
      <c r="B27" s="1">
        <v>0.97799999999999998</v>
      </c>
      <c r="C27" s="1">
        <v>0.96699999999999997</v>
      </c>
      <c r="D27" s="1">
        <v>180.5</v>
      </c>
      <c r="E27" s="1" t="s">
        <v>80</v>
      </c>
    </row>
  </sheetData>
  <mergeCells count="3">
    <mergeCell ref="A1:E1"/>
    <mergeCell ref="H1:J1"/>
    <mergeCell ref="H7:J7"/>
  </mergeCells>
  <conditionalFormatting sqref="B3:C27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3:E27">
    <cfRule type="uniqueValues" dxfId="5" priority="1"/>
    <cfRule type="duplicateValues" dxfId="4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A378FBD-FA9E-4248-BD43-166F7160BF93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A3:A27</xm:sqref>
        </x14:conditionalFormatting>
        <x14:conditionalFormatting xmlns:xm="http://schemas.microsoft.com/office/excel/2006/main">
          <x14:cfRule type="iconSet" priority="3" id="{F5841440-4A62-4FAC-8DE3-A9A581B2A81C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D3:D27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2D19-E9A5-470E-95D0-484182693731}">
  <dimension ref="A1:K27"/>
  <sheetViews>
    <sheetView topLeftCell="E1" workbookViewId="0">
      <selection activeCell="H1" sqref="H1:J4"/>
    </sheetView>
  </sheetViews>
  <sheetFormatPr defaultRowHeight="14.4" x14ac:dyDescent="0.3"/>
  <cols>
    <col min="1" max="1" width="6.21875" style="1" bestFit="1" customWidth="1"/>
    <col min="2" max="2" width="11.77734375" style="1" bestFit="1" customWidth="1"/>
    <col min="3" max="3" width="13.33203125" style="1" bestFit="1" customWidth="1"/>
    <col min="4" max="4" width="8.109375" style="1" bestFit="1" customWidth="1"/>
    <col min="5" max="5" width="13.5546875" style="1" bestFit="1" customWidth="1"/>
    <col min="6" max="7" width="8.88671875" style="1"/>
    <col min="8" max="8" width="21.6640625" style="1" bestFit="1" customWidth="1"/>
    <col min="9" max="9" width="23.109375" style="1" bestFit="1" customWidth="1"/>
    <col min="10" max="11" width="44" style="1" bestFit="1" customWidth="1"/>
    <col min="12" max="16384" width="8.88671875" style="1"/>
  </cols>
  <sheetData>
    <row r="1" spans="1:11" x14ac:dyDescent="0.3">
      <c r="A1" s="9" t="s">
        <v>96</v>
      </c>
      <c r="B1" s="9"/>
      <c r="C1" s="9"/>
      <c r="D1" s="9"/>
      <c r="E1" s="9"/>
      <c r="H1" s="9" t="s">
        <v>97</v>
      </c>
      <c r="I1" s="9"/>
      <c r="J1" s="9"/>
      <c r="K1" s="2"/>
    </row>
    <row r="2" spans="1:11" x14ac:dyDescent="0.3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H2" s="2" t="s">
        <v>73</v>
      </c>
      <c r="I2" s="2" t="s">
        <v>108</v>
      </c>
      <c r="J2" s="2" t="s">
        <v>98</v>
      </c>
    </row>
    <row r="3" spans="1:11" x14ac:dyDescent="0.3">
      <c r="A3" s="1">
        <v>1</v>
      </c>
      <c r="B3" s="1">
        <v>0.51919999999999999</v>
      </c>
      <c r="C3" s="1">
        <v>0.35980000000000001</v>
      </c>
      <c r="D3" s="1">
        <v>342.7</v>
      </c>
      <c r="E3" s="1" t="s">
        <v>86</v>
      </c>
      <c r="H3" s="1" t="s">
        <v>82</v>
      </c>
      <c r="I3" s="4">
        <v>0.86260000000000003</v>
      </c>
      <c r="J3" s="1" t="s">
        <v>99</v>
      </c>
    </row>
    <row r="4" spans="1:11" x14ac:dyDescent="0.3">
      <c r="A4" s="1">
        <v>2</v>
      </c>
      <c r="B4" s="1">
        <v>0.65339999999999998</v>
      </c>
      <c r="C4" s="1">
        <v>0.5413</v>
      </c>
      <c r="D4" s="1">
        <v>200.3</v>
      </c>
      <c r="E4" s="1" t="s">
        <v>87</v>
      </c>
      <c r="H4" s="1" t="s">
        <v>84</v>
      </c>
      <c r="I4" s="4">
        <v>0.81279999999999997</v>
      </c>
      <c r="J4" s="1" t="s">
        <v>100</v>
      </c>
    </row>
    <row r="5" spans="1:11" x14ac:dyDescent="0.3">
      <c r="A5" s="1">
        <v>3</v>
      </c>
      <c r="B5" s="1">
        <v>0.69299999999999995</v>
      </c>
      <c r="C5" s="1">
        <v>0.58409999999999995</v>
      </c>
      <c r="D5" s="1">
        <v>201.6</v>
      </c>
      <c r="E5" s="1" t="s">
        <v>88</v>
      </c>
    </row>
    <row r="6" spans="1:11" x14ac:dyDescent="0.3">
      <c r="A6" s="1">
        <v>4</v>
      </c>
      <c r="B6" s="1">
        <v>0.71919999999999995</v>
      </c>
      <c r="C6" s="1">
        <v>0.63339999999999996</v>
      </c>
      <c r="D6" s="1">
        <v>201.6</v>
      </c>
      <c r="E6" s="1" t="s">
        <v>62</v>
      </c>
      <c r="H6" s="9" t="s">
        <v>97</v>
      </c>
      <c r="I6" s="9"/>
      <c r="J6" s="9"/>
    </row>
    <row r="7" spans="1:11" x14ac:dyDescent="0.3">
      <c r="A7" s="1">
        <v>5</v>
      </c>
      <c r="B7" s="1">
        <v>0.74309999999999998</v>
      </c>
      <c r="C7" s="1">
        <v>0.66810000000000003</v>
      </c>
      <c r="D7" s="1">
        <v>207.2</v>
      </c>
      <c r="E7" s="1" t="s">
        <v>62</v>
      </c>
      <c r="H7" s="1" t="s">
        <v>109</v>
      </c>
      <c r="I7" s="1" t="s">
        <v>110</v>
      </c>
      <c r="J7" s="1" t="s">
        <v>124</v>
      </c>
    </row>
    <row r="8" spans="1:11" x14ac:dyDescent="0.3">
      <c r="A8" s="1">
        <v>6</v>
      </c>
      <c r="B8" s="1">
        <v>0.76590000000000003</v>
      </c>
      <c r="C8" s="1">
        <v>0.6855</v>
      </c>
      <c r="D8" s="1">
        <v>205.8</v>
      </c>
      <c r="E8" s="1" t="s">
        <v>62</v>
      </c>
      <c r="H8" s="6">
        <v>0.79194399999999998</v>
      </c>
      <c r="I8" s="6">
        <v>0.72228800000000004</v>
      </c>
      <c r="J8" s="6">
        <v>206.28000000000003</v>
      </c>
    </row>
    <row r="9" spans="1:11" x14ac:dyDescent="0.3">
      <c r="A9" s="1">
        <v>7</v>
      </c>
      <c r="B9" s="1">
        <v>0.78269999999999995</v>
      </c>
      <c r="C9" s="1">
        <v>0.71640000000000004</v>
      </c>
      <c r="D9" s="1">
        <v>198.1</v>
      </c>
      <c r="E9" s="1" t="s">
        <v>61</v>
      </c>
    </row>
    <row r="10" spans="1:11" x14ac:dyDescent="0.3">
      <c r="A10" s="1">
        <v>8</v>
      </c>
      <c r="B10" s="1">
        <v>0.77900000000000003</v>
      </c>
      <c r="C10" s="1">
        <v>0.71179999999999999</v>
      </c>
      <c r="D10" s="1">
        <v>200.3</v>
      </c>
      <c r="E10" s="1" t="s">
        <v>65</v>
      </c>
    </row>
    <row r="11" spans="1:11" x14ac:dyDescent="0.3">
      <c r="A11" s="1">
        <v>9</v>
      </c>
      <c r="B11" s="1">
        <v>0.80200000000000005</v>
      </c>
      <c r="C11" s="1">
        <v>0.73140000000000005</v>
      </c>
      <c r="D11" s="1">
        <v>201.1</v>
      </c>
      <c r="E11" s="1" t="s">
        <v>89</v>
      </c>
    </row>
    <row r="12" spans="1:11" x14ac:dyDescent="0.3">
      <c r="A12" s="1">
        <v>10</v>
      </c>
      <c r="B12" s="1">
        <v>0.8</v>
      </c>
      <c r="C12" s="1">
        <v>0.74060000000000004</v>
      </c>
      <c r="D12" s="1">
        <v>200.8</v>
      </c>
      <c r="E12" s="1" t="s">
        <v>61</v>
      </c>
    </row>
    <row r="13" spans="1:11" x14ac:dyDescent="0.3">
      <c r="A13" s="1">
        <v>11</v>
      </c>
      <c r="B13" s="1">
        <v>0.81310000000000004</v>
      </c>
      <c r="C13" s="1">
        <v>0.75549999999999995</v>
      </c>
      <c r="D13" s="1">
        <v>201.2</v>
      </c>
      <c r="E13" s="1" t="s">
        <v>62</v>
      </c>
    </row>
    <row r="14" spans="1:11" x14ac:dyDescent="0.3">
      <c r="A14" s="1">
        <v>12</v>
      </c>
      <c r="B14" s="1">
        <v>0.81820000000000004</v>
      </c>
      <c r="C14" s="1">
        <v>0.76049999999999995</v>
      </c>
      <c r="D14" s="1">
        <v>198</v>
      </c>
      <c r="E14" s="1" t="s">
        <v>61</v>
      </c>
    </row>
    <row r="15" spans="1:11" x14ac:dyDescent="0.3">
      <c r="A15" s="1">
        <v>13</v>
      </c>
      <c r="B15" s="1">
        <v>0.80530000000000002</v>
      </c>
      <c r="C15" s="1">
        <v>0.72760000000000002</v>
      </c>
      <c r="D15" s="1">
        <v>198.5</v>
      </c>
      <c r="E15" s="1" t="s">
        <v>90</v>
      </c>
    </row>
    <row r="16" spans="1:11" x14ac:dyDescent="0.3">
      <c r="A16" s="1">
        <v>14</v>
      </c>
      <c r="B16" s="1">
        <v>0.82040000000000002</v>
      </c>
      <c r="C16" s="1">
        <v>0.7641</v>
      </c>
      <c r="D16" s="1">
        <v>199.4</v>
      </c>
      <c r="E16" s="1" t="s">
        <v>91</v>
      </c>
    </row>
    <row r="17" spans="1:5" x14ac:dyDescent="0.3">
      <c r="A17" s="1">
        <v>15</v>
      </c>
      <c r="B17" s="1">
        <v>0.82740000000000002</v>
      </c>
      <c r="C17" s="1">
        <v>0.77129999999999999</v>
      </c>
      <c r="D17" s="1">
        <v>197.6</v>
      </c>
      <c r="E17" s="1" t="s">
        <v>62</v>
      </c>
    </row>
    <row r="18" spans="1:5" x14ac:dyDescent="0.3">
      <c r="A18" s="1">
        <v>16</v>
      </c>
      <c r="B18" s="1">
        <v>0.80169999999999997</v>
      </c>
      <c r="C18" s="1">
        <v>0.72970000000000002</v>
      </c>
      <c r="D18" s="1">
        <v>196.9</v>
      </c>
      <c r="E18" s="1" t="s">
        <v>65</v>
      </c>
    </row>
    <row r="19" spans="1:5" x14ac:dyDescent="0.3">
      <c r="A19" s="1">
        <v>17</v>
      </c>
      <c r="B19" s="1">
        <v>0.83499999999999996</v>
      </c>
      <c r="C19" s="1">
        <v>0.7732</v>
      </c>
      <c r="D19" s="1">
        <v>199.9</v>
      </c>
      <c r="E19" s="1" t="s">
        <v>92</v>
      </c>
    </row>
    <row r="20" spans="1:5" x14ac:dyDescent="0.3">
      <c r="A20" s="1">
        <v>18</v>
      </c>
      <c r="B20" s="1">
        <v>0.84809999999999997</v>
      </c>
      <c r="C20" s="1">
        <v>0.79879999999999995</v>
      </c>
      <c r="D20" s="1">
        <v>199</v>
      </c>
      <c r="E20" s="1" t="s">
        <v>92</v>
      </c>
    </row>
    <row r="21" spans="1:5" x14ac:dyDescent="0.3">
      <c r="A21" s="1">
        <v>19</v>
      </c>
      <c r="B21" s="1">
        <v>0.84030000000000005</v>
      </c>
      <c r="C21" s="1">
        <v>0.77880000000000005</v>
      </c>
      <c r="D21" s="1">
        <v>200.5</v>
      </c>
      <c r="E21" s="1" t="s">
        <v>61</v>
      </c>
    </row>
    <row r="22" spans="1:5" x14ac:dyDescent="0.3">
      <c r="A22" s="1">
        <v>20</v>
      </c>
      <c r="B22" s="1">
        <v>0.85580000000000001</v>
      </c>
      <c r="C22" s="1">
        <v>0.80859999999999999</v>
      </c>
      <c r="D22" s="1">
        <v>199.3</v>
      </c>
      <c r="E22" s="1" t="s">
        <v>93</v>
      </c>
    </row>
    <row r="23" spans="1:5" x14ac:dyDescent="0.3">
      <c r="A23" s="1">
        <v>21</v>
      </c>
      <c r="B23" s="1">
        <v>0.84940000000000004</v>
      </c>
      <c r="C23" s="1">
        <v>0.79700000000000004</v>
      </c>
      <c r="D23" s="1">
        <v>203.1</v>
      </c>
      <c r="E23" s="1" t="s">
        <v>61</v>
      </c>
    </row>
    <row r="24" spans="1:5" x14ac:dyDescent="0.3">
      <c r="A24" s="1">
        <v>22</v>
      </c>
      <c r="B24" s="1">
        <v>0.85360000000000003</v>
      </c>
      <c r="C24" s="1">
        <v>0.80310000000000004</v>
      </c>
      <c r="D24" s="1">
        <v>209.8</v>
      </c>
      <c r="E24" s="1" t="s">
        <v>61</v>
      </c>
    </row>
    <row r="25" spans="1:5" x14ac:dyDescent="0.3">
      <c r="A25" s="1">
        <v>23</v>
      </c>
      <c r="B25" s="1">
        <v>0.8569</v>
      </c>
      <c r="C25" s="1">
        <v>0.80489999999999995</v>
      </c>
      <c r="D25" s="1">
        <v>198.9</v>
      </c>
      <c r="E25" s="1" t="s">
        <v>94</v>
      </c>
    </row>
    <row r="26" spans="1:5" x14ac:dyDescent="0.3">
      <c r="A26" s="1">
        <v>24</v>
      </c>
      <c r="B26" s="1">
        <v>0.85729999999999995</v>
      </c>
      <c r="C26" s="1">
        <v>0.80449999999999999</v>
      </c>
      <c r="D26" s="1">
        <v>199.1</v>
      </c>
      <c r="E26" s="1" t="s">
        <v>94</v>
      </c>
    </row>
    <row r="27" spans="1:5" x14ac:dyDescent="0.3">
      <c r="A27" s="1">
        <v>25</v>
      </c>
      <c r="B27" s="1">
        <v>0.85860000000000003</v>
      </c>
      <c r="C27" s="1">
        <v>0.80720000000000003</v>
      </c>
      <c r="D27" s="1">
        <v>196.3</v>
      </c>
      <c r="E27" s="1" t="s">
        <v>95</v>
      </c>
    </row>
  </sheetData>
  <mergeCells count="3">
    <mergeCell ref="A1:E1"/>
    <mergeCell ref="H1:J1"/>
    <mergeCell ref="H6:J6"/>
  </mergeCells>
  <conditionalFormatting sqref="B3:C27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3:E27">
    <cfRule type="uniqueValues" dxfId="3" priority="1"/>
    <cfRule type="duplicateValues" dxfId="2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8F57CFA-3A36-47C5-8757-57AD258C8E15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A3:A27</xm:sqref>
        </x14:conditionalFormatting>
        <x14:conditionalFormatting xmlns:xm="http://schemas.microsoft.com/office/excel/2006/main">
          <x14:cfRule type="iconSet" priority="3" id="{A95D22A0-265A-47BB-9FE5-D17810A97D5A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D3:D27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859A-4B85-4EE8-83C5-75878261B779}">
  <dimension ref="A1:J27"/>
  <sheetViews>
    <sheetView topLeftCell="B1" workbookViewId="0">
      <selection activeCell="H1" sqref="H1:J1"/>
    </sheetView>
  </sheetViews>
  <sheetFormatPr defaultRowHeight="14.4" x14ac:dyDescent="0.3"/>
  <cols>
    <col min="1" max="1" width="6" bestFit="1" customWidth="1"/>
    <col min="2" max="2" width="11.33203125" bestFit="1" customWidth="1"/>
    <col min="3" max="3" width="12.77734375" bestFit="1" customWidth="1"/>
    <col min="4" max="4" width="8.109375" bestFit="1" customWidth="1"/>
    <col min="5" max="5" width="15.6640625" bestFit="1" customWidth="1"/>
    <col min="8" max="8" width="21.6640625" bestFit="1" customWidth="1"/>
    <col min="9" max="9" width="23.109375" bestFit="1" customWidth="1"/>
    <col min="10" max="10" width="82.109375" bestFit="1" customWidth="1"/>
  </cols>
  <sheetData>
    <row r="1" spans="1:10" x14ac:dyDescent="0.3">
      <c r="A1" s="9" t="s">
        <v>116</v>
      </c>
      <c r="B1" s="9"/>
      <c r="C1" s="9"/>
      <c r="D1" s="9"/>
      <c r="E1" s="9"/>
      <c r="H1" s="9" t="s">
        <v>117</v>
      </c>
      <c r="I1" s="9"/>
      <c r="J1" s="9"/>
    </row>
    <row r="2" spans="1:10" x14ac:dyDescent="0.3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H2" s="2" t="s">
        <v>73</v>
      </c>
      <c r="I2" s="2" t="s">
        <v>118</v>
      </c>
      <c r="J2" s="2" t="s">
        <v>98</v>
      </c>
    </row>
    <row r="3" spans="1:10" x14ac:dyDescent="0.3">
      <c r="A3" s="1">
        <v>1</v>
      </c>
      <c r="B3" s="1">
        <v>0.47570000000000001</v>
      </c>
      <c r="C3" s="1">
        <v>0.29120000000000001</v>
      </c>
      <c r="D3" s="1">
        <v>349.3</v>
      </c>
      <c r="E3" s="1" t="s">
        <v>111</v>
      </c>
      <c r="H3" s="1" t="s">
        <v>119</v>
      </c>
      <c r="I3" s="1">
        <v>0.87770000000000004</v>
      </c>
      <c r="J3" s="1" t="s">
        <v>120</v>
      </c>
    </row>
    <row r="4" spans="1:10" x14ac:dyDescent="0.3">
      <c r="A4" s="1">
        <v>2</v>
      </c>
      <c r="B4" s="1">
        <v>0.58950000000000002</v>
      </c>
      <c r="C4" s="1">
        <v>0.45729999999999998</v>
      </c>
      <c r="D4" s="1">
        <v>167.8</v>
      </c>
      <c r="E4" s="1" t="s">
        <v>112</v>
      </c>
      <c r="H4" s="1" t="s">
        <v>121</v>
      </c>
      <c r="I4" s="1">
        <v>0.83709999999999996</v>
      </c>
      <c r="J4" s="1" t="s">
        <v>122</v>
      </c>
    </row>
    <row r="5" spans="1:10" x14ac:dyDescent="0.3">
      <c r="A5" s="1">
        <v>3</v>
      </c>
      <c r="B5" s="1">
        <v>0.65449999999999997</v>
      </c>
      <c r="C5" s="1">
        <v>0.54210000000000003</v>
      </c>
      <c r="D5" s="1">
        <v>164.9</v>
      </c>
      <c r="E5" s="1" t="s">
        <v>113</v>
      </c>
    </row>
    <row r="6" spans="1:10" x14ac:dyDescent="0.3">
      <c r="A6" s="1">
        <v>4</v>
      </c>
      <c r="B6" s="1">
        <v>0.71989999999999998</v>
      </c>
      <c r="C6" s="1">
        <v>0.63270000000000004</v>
      </c>
      <c r="D6" s="1">
        <v>167.1</v>
      </c>
      <c r="E6" s="1" t="s">
        <v>78</v>
      </c>
    </row>
    <row r="7" spans="1:10" x14ac:dyDescent="0.3">
      <c r="A7" s="1">
        <v>5</v>
      </c>
      <c r="B7" s="1">
        <v>0.73870000000000002</v>
      </c>
      <c r="C7" s="1">
        <v>0.65159999999999996</v>
      </c>
      <c r="D7" s="1">
        <v>169.1</v>
      </c>
      <c r="E7" s="1" t="s">
        <v>62</v>
      </c>
      <c r="H7" s="9" t="s">
        <v>117</v>
      </c>
      <c r="I7" s="9"/>
      <c r="J7" s="9"/>
    </row>
    <row r="8" spans="1:10" x14ac:dyDescent="0.3">
      <c r="A8" s="1">
        <v>6</v>
      </c>
      <c r="B8" s="1">
        <v>0.75270000000000004</v>
      </c>
      <c r="C8" s="1">
        <v>0.66979999999999995</v>
      </c>
      <c r="D8" s="1">
        <v>169.6</v>
      </c>
      <c r="E8" s="1" t="s">
        <v>62</v>
      </c>
      <c r="H8" t="s">
        <v>109</v>
      </c>
      <c r="I8" t="s">
        <v>110</v>
      </c>
      <c r="J8" t="s">
        <v>124</v>
      </c>
    </row>
    <row r="9" spans="1:10" x14ac:dyDescent="0.3">
      <c r="A9" s="1">
        <v>7</v>
      </c>
      <c r="B9" s="1">
        <v>0.77510000000000001</v>
      </c>
      <c r="C9" s="1">
        <v>0.71040000000000003</v>
      </c>
      <c r="D9" s="1">
        <v>172.3</v>
      </c>
      <c r="E9" s="1" t="s">
        <v>88</v>
      </c>
      <c r="H9">
        <v>0.79420800000000003</v>
      </c>
      <c r="I9">
        <v>0.73209999999999997</v>
      </c>
      <c r="J9">
        <v>177.22800000000004</v>
      </c>
    </row>
    <row r="10" spans="1:10" x14ac:dyDescent="0.3">
      <c r="A10" s="1">
        <v>8</v>
      </c>
      <c r="B10" s="1">
        <v>0.78249999999999997</v>
      </c>
      <c r="C10" s="1">
        <v>0.7177</v>
      </c>
      <c r="D10" s="1">
        <v>169</v>
      </c>
      <c r="E10" s="1" t="s">
        <v>88</v>
      </c>
    </row>
    <row r="11" spans="1:10" x14ac:dyDescent="0.3">
      <c r="A11" s="1">
        <v>9</v>
      </c>
      <c r="B11" s="1">
        <v>0.80089999999999995</v>
      </c>
      <c r="C11" s="1">
        <v>0.73480000000000001</v>
      </c>
      <c r="D11" s="1">
        <v>170</v>
      </c>
      <c r="E11" s="1" t="s">
        <v>89</v>
      </c>
    </row>
    <row r="12" spans="1:10" x14ac:dyDescent="0.3">
      <c r="A12" s="1">
        <v>10</v>
      </c>
      <c r="B12" s="1">
        <v>0.8125</v>
      </c>
      <c r="C12" s="1">
        <v>0.76539999999999997</v>
      </c>
      <c r="D12" s="1">
        <v>170.8</v>
      </c>
      <c r="E12" s="1" t="s">
        <v>61</v>
      </c>
    </row>
    <row r="13" spans="1:10" x14ac:dyDescent="0.3">
      <c r="A13" s="1">
        <v>11</v>
      </c>
      <c r="B13" s="1">
        <v>0.81100000000000005</v>
      </c>
      <c r="C13" s="1">
        <v>0.76349999999999996</v>
      </c>
      <c r="D13" s="1">
        <v>167.2</v>
      </c>
      <c r="E13" s="1" t="s">
        <v>61</v>
      </c>
    </row>
    <row r="14" spans="1:10" x14ac:dyDescent="0.3">
      <c r="A14" s="1">
        <v>12</v>
      </c>
      <c r="B14" s="1">
        <v>0.82520000000000004</v>
      </c>
      <c r="C14" s="1">
        <v>0.77569999999999995</v>
      </c>
      <c r="D14" s="1">
        <v>168.3</v>
      </c>
      <c r="E14" s="1" t="s">
        <v>62</v>
      </c>
    </row>
    <row r="15" spans="1:10" x14ac:dyDescent="0.3">
      <c r="A15" s="1">
        <v>13</v>
      </c>
      <c r="B15" s="1">
        <v>0.8256</v>
      </c>
      <c r="C15" s="1">
        <v>0.78069999999999995</v>
      </c>
      <c r="D15" s="1">
        <v>166.9</v>
      </c>
      <c r="E15" s="1" t="s">
        <v>62</v>
      </c>
    </row>
    <row r="16" spans="1:10" x14ac:dyDescent="0.3">
      <c r="A16" s="1">
        <v>14</v>
      </c>
      <c r="B16" s="1">
        <v>0.83589999999999998</v>
      </c>
      <c r="C16" s="1">
        <v>0.79269999999999996</v>
      </c>
      <c r="D16" s="1">
        <v>169.7</v>
      </c>
      <c r="E16" s="1" t="s">
        <v>62</v>
      </c>
    </row>
    <row r="17" spans="1:5" x14ac:dyDescent="0.3">
      <c r="A17" s="1">
        <v>15</v>
      </c>
      <c r="B17" s="1">
        <v>0.82499999999999996</v>
      </c>
      <c r="C17" s="1">
        <v>0.77170000000000005</v>
      </c>
      <c r="D17" s="1">
        <v>170.8</v>
      </c>
      <c r="E17" s="1" t="s">
        <v>65</v>
      </c>
    </row>
    <row r="18" spans="1:5" x14ac:dyDescent="0.3">
      <c r="A18" s="1">
        <v>16</v>
      </c>
      <c r="B18" s="1">
        <v>0.85119999999999996</v>
      </c>
      <c r="C18" s="1">
        <v>0.81479999999999997</v>
      </c>
      <c r="D18" s="1">
        <v>170.4</v>
      </c>
      <c r="E18" s="1" t="s">
        <v>114</v>
      </c>
    </row>
    <row r="19" spans="1:5" x14ac:dyDescent="0.3">
      <c r="A19" s="1">
        <v>17</v>
      </c>
      <c r="B19" s="1">
        <v>0.85709999999999997</v>
      </c>
      <c r="C19" s="1">
        <v>0.81330000000000002</v>
      </c>
      <c r="D19" s="1">
        <v>168.3</v>
      </c>
      <c r="E19" s="1" t="s">
        <v>61</v>
      </c>
    </row>
    <row r="20" spans="1:5" x14ac:dyDescent="0.3">
      <c r="A20" s="1">
        <v>18</v>
      </c>
      <c r="B20" s="1">
        <v>0.85429999999999995</v>
      </c>
      <c r="C20" s="1">
        <v>0.8135</v>
      </c>
      <c r="D20" s="1">
        <v>169.1</v>
      </c>
      <c r="E20" s="1" t="s">
        <v>61</v>
      </c>
    </row>
    <row r="21" spans="1:5" x14ac:dyDescent="0.3">
      <c r="A21" s="1">
        <v>19</v>
      </c>
      <c r="B21" s="1">
        <v>0.86339999999999995</v>
      </c>
      <c r="C21" s="1">
        <v>0.82530000000000003</v>
      </c>
      <c r="D21" s="1">
        <v>172.5</v>
      </c>
      <c r="E21" s="1" t="s">
        <v>62</v>
      </c>
    </row>
    <row r="22" spans="1:5" x14ac:dyDescent="0.3">
      <c r="A22" s="1">
        <v>20</v>
      </c>
      <c r="B22" s="1">
        <v>0.86</v>
      </c>
      <c r="C22" s="1">
        <v>0.81610000000000005</v>
      </c>
      <c r="D22" s="1">
        <v>173.8</v>
      </c>
      <c r="E22" s="1" t="s">
        <v>61</v>
      </c>
    </row>
    <row r="23" spans="1:5" x14ac:dyDescent="0.3">
      <c r="A23" s="1">
        <v>21</v>
      </c>
      <c r="B23" s="1">
        <v>0.85709999999999997</v>
      </c>
      <c r="C23" s="1">
        <v>0.8175</v>
      </c>
      <c r="D23" s="1">
        <v>173.1</v>
      </c>
      <c r="E23" s="1" t="s">
        <v>61</v>
      </c>
    </row>
    <row r="24" spans="1:5" x14ac:dyDescent="0.3">
      <c r="A24" s="1">
        <v>22</v>
      </c>
      <c r="B24" s="1">
        <v>0.87129999999999996</v>
      </c>
      <c r="C24" s="1">
        <v>0.83699999999999997</v>
      </c>
      <c r="D24" s="1">
        <v>173.4</v>
      </c>
      <c r="E24" s="1" t="s">
        <v>77</v>
      </c>
    </row>
    <row r="25" spans="1:5" x14ac:dyDescent="0.3">
      <c r="A25" s="1">
        <v>23</v>
      </c>
      <c r="B25" s="1">
        <v>0.86560000000000004</v>
      </c>
      <c r="C25" s="1">
        <v>0.82630000000000003</v>
      </c>
      <c r="D25" s="1">
        <v>170.6</v>
      </c>
      <c r="E25" s="1" t="s">
        <v>61</v>
      </c>
    </row>
    <row r="26" spans="1:5" x14ac:dyDescent="0.3">
      <c r="A26" s="1">
        <v>24</v>
      </c>
      <c r="B26" s="1">
        <v>0.872</v>
      </c>
      <c r="C26" s="1">
        <v>0.83640000000000003</v>
      </c>
      <c r="D26" s="1">
        <v>171.1</v>
      </c>
      <c r="E26" s="1" t="s">
        <v>77</v>
      </c>
    </row>
    <row r="27" spans="1:5" x14ac:dyDescent="0.3">
      <c r="A27" s="1">
        <v>25</v>
      </c>
      <c r="B27" s="1">
        <v>0.87849999999999995</v>
      </c>
      <c r="C27" s="1">
        <v>0.84499999999999997</v>
      </c>
      <c r="D27" s="1">
        <v>175.6</v>
      </c>
      <c r="E27" s="1" t="s">
        <v>115</v>
      </c>
    </row>
  </sheetData>
  <mergeCells count="3">
    <mergeCell ref="A1:E1"/>
    <mergeCell ref="H1:J1"/>
    <mergeCell ref="H7:J7"/>
  </mergeCells>
  <conditionalFormatting sqref="B2:C26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2:E26">
    <cfRule type="uniqueValues" dxfId="1" priority="1"/>
    <cfRule type="duplicateValues" dxfId="0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39AA4511-89A4-4A6F-85B1-FCDCF89C75B9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A2:A26</xm:sqref>
        </x14:conditionalFormatting>
        <x14:conditionalFormatting xmlns:xm="http://schemas.microsoft.com/office/excel/2006/main">
          <x14:cfRule type="iconSet" priority="3" id="{18BA47FD-8EAE-48A9-B342-CA5851743CF0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D2:D26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6EA4-E7AC-4C6F-9608-68BAFA5BEDB2}">
  <dimension ref="A1:J6"/>
  <sheetViews>
    <sheetView tabSelected="1" workbookViewId="0">
      <selection activeCell="D5" sqref="A1:D6"/>
    </sheetView>
  </sheetViews>
  <sheetFormatPr defaultRowHeight="14.4" x14ac:dyDescent="0.3"/>
  <cols>
    <col min="1" max="1" width="7.109375" bestFit="1" customWidth="1"/>
    <col min="2" max="2" width="15.5546875" bestFit="1" customWidth="1"/>
    <col min="3" max="3" width="17" bestFit="1" customWidth="1"/>
    <col min="4" max="4" width="17.6640625" bestFit="1" customWidth="1"/>
    <col min="7" max="7" width="39.5546875" bestFit="1" customWidth="1"/>
    <col min="8" max="8" width="15.33203125" bestFit="1" customWidth="1"/>
    <col min="9" max="9" width="16.77734375" bestFit="1" customWidth="1"/>
    <col min="10" max="10" width="46.44140625" bestFit="1" customWidth="1"/>
  </cols>
  <sheetData>
    <row r="1" spans="1:10" x14ac:dyDescent="0.3">
      <c r="A1" s="9" t="s">
        <v>125</v>
      </c>
      <c r="B1" s="9"/>
      <c r="C1" s="9"/>
      <c r="D1" s="9"/>
      <c r="G1" s="9" t="s">
        <v>134</v>
      </c>
      <c r="H1" s="9"/>
      <c r="I1" s="9"/>
      <c r="J1" s="9"/>
    </row>
    <row r="2" spans="1:10" x14ac:dyDescent="0.3">
      <c r="A2" s="5" t="s">
        <v>126</v>
      </c>
      <c r="B2" s="5" t="s">
        <v>127</v>
      </c>
      <c r="C2" s="5" t="s">
        <v>128</v>
      </c>
      <c r="D2" s="5" t="s">
        <v>129</v>
      </c>
      <c r="G2" s="2" t="s">
        <v>135</v>
      </c>
      <c r="H2" s="2" t="s">
        <v>136</v>
      </c>
      <c r="I2" s="2" t="s">
        <v>137</v>
      </c>
      <c r="J2" s="2" t="s">
        <v>138</v>
      </c>
    </row>
    <row r="3" spans="1:10" x14ac:dyDescent="0.3">
      <c r="A3" s="5" t="s">
        <v>130</v>
      </c>
      <c r="B3" s="7">
        <v>0.69269999999999998</v>
      </c>
      <c r="C3" s="7">
        <v>0.59789999999999999</v>
      </c>
      <c r="D3">
        <v>554.1</v>
      </c>
      <c r="G3" s="1" t="s">
        <v>131</v>
      </c>
      <c r="H3" s="8">
        <v>0.97850000000000004</v>
      </c>
      <c r="I3" s="8">
        <v>0.97219999999999995</v>
      </c>
      <c r="J3" s="1" t="s">
        <v>139</v>
      </c>
    </row>
    <row r="4" spans="1:10" x14ac:dyDescent="0.3">
      <c r="A4" s="5" t="s">
        <v>131</v>
      </c>
      <c r="B4" s="7">
        <v>0.9607</v>
      </c>
      <c r="C4" s="7">
        <v>0.94620000000000004</v>
      </c>
      <c r="D4">
        <v>191.65</v>
      </c>
      <c r="G4" s="1" t="s">
        <v>133</v>
      </c>
      <c r="H4" s="8">
        <v>0.87770000000000004</v>
      </c>
      <c r="I4" s="8">
        <v>0.83709999999999996</v>
      </c>
      <c r="J4" s="1" t="s">
        <v>140</v>
      </c>
    </row>
    <row r="5" spans="1:10" x14ac:dyDescent="0.3">
      <c r="A5" s="5" t="s">
        <v>132</v>
      </c>
      <c r="B5" s="7">
        <v>0.79200000000000004</v>
      </c>
      <c r="C5" s="7">
        <v>0.72199999999999998</v>
      </c>
      <c r="D5">
        <v>206.28</v>
      </c>
      <c r="G5" s="1" t="s">
        <v>132</v>
      </c>
      <c r="H5" s="8">
        <v>0.86260000000000003</v>
      </c>
      <c r="I5" s="8">
        <v>0.81279999999999997</v>
      </c>
      <c r="J5" s="1" t="s">
        <v>141</v>
      </c>
    </row>
    <row r="6" spans="1:10" x14ac:dyDescent="0.3">
      <c r="A6" s="5" t="s">
        <v>133</v>
      </c>
      <c r="B6" s="7">
        <v>0.79420000000000002</v>
      </c>
      <c r="C6" s="7">
        <v>0.73209999999999997</v>
      </c>
      <c r="D6">
        <v>177.23</v>
      </c>
      <c r="G6" s="1" t="s">
        <v>203</v>
      </c>
      <c r="H6" s="8">
        <v>0.77200000000000002</v>
      </c>
      <c r="I6" s="8">
        <v>0.68940000000000001</v>
      </c>
      <c r="J6" s="1" t="s">
        <v>142</v>
      </c>
    </row>
  </sheetData>
  <mergeCells count="2">
    <mergeCell ref="A1:D1"/>
    <mergeCell ref="G1:J1"/>
  </mergeCells>
  <conditionalFormatting sqref="B3:B6">
    <cfRule type="colorScale" priority="3">
      <colorScale>
        <cfvo type="min"/>
        <cfvo type="max"/>
        <color rgb="FFFCFCFF"/>
        <color rgb="FF63BE7B"/>
      </colorScale>
    </cfRule>
  </conditionalFormatting>
  <conditionalFormatting sqref="C3:C6">
    <cfRule type="colorScale" priority="2">
      <colorScale>
        <cfvo type="min"/>
        <cfvo type="max"/>
        <color rgb="FFFCFCFF"/>
        <color rgb="FF63BE7B"/>
      </colorScale>
    </cfRule>
  </conditionalFormatting>
  <conditionalFormatting sqref="D3:D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E5E0-CEF6-47EB-8530-9E8143D47634}">
  <dimension ref="A1:R40"/>
  <sheetViews>
    <sheetView topLeftCell="F1" workbookViewId="0">
      <selection activeCell="G1" sqref="G1:M27"/>
    </sheetView>
  </sheetViews>
  <sheetFormatPr defaultRowHeight="14.4" x14ac:dyDescent="0.3"/>
  <cols>
    <col min="1" max="1" width="22.21875" style="1" bestFit="1" customWidth="1"/>
    <col min="2" max="2" width="8.33203125" style="1" bestFit="1" customWidth="1"/>
    <col min="3" max="3" width="5.88671875" style="1" bestFit="1" customWidth="1"/>
    <col min="4" max="4" width="8.109375" style="1" bestFit="1" customWidth="1"/>
    <col min="5" max="5" width="7.33203125" style="1" bestFit="1" customWidth="1"/>
    <col min="6" max="6" width="8.88671875" style="1"/>
    <col min="7" max="7" width="24.44140625" style="1" bestFit="1" customWidth="1"/>
    <col min="8" max="8" width="9.109375" style="1" bestFit="1" customWidth="1"/>
    <col min="9" max="9" width="8.44140625" style="1" bestFit="1" customWidth="1"/>
    <col min="10" max="10" width="7.44140625" style="1" bestFit="1" customWidth="1"/>
    <col min="11" max="11" width="7.5546875" style="1" bestFit="1" customWidth="1"/>
    <col min="12" max="13" width="7" style="1" bestFit="1" customWidth="1"/>
    <col min="14" max="14" width="8.88671875" style="1"/>
    <col min="15" max="15" width="23.5546875" style="1" bestFit="1" customWidth="1"/>
    <col min="16" max="16" width="7" style="1" bestFit="1" customWidth="1"/>
    <col min="17" max="17" width="71.77734375" style="1" bestFit="1" customWidth="1"/>
    <col min="18" max="16384" width="8.88671875" style="1"/>
  </cols>
  <sheetData>
    <row r="1" spans="1:18" x14ac:dyDescent="0.3">
      <c r="A1" s="9" t="s">
        <v>143</v>
      </c>
      <c r="B1" s="9"/>
      <c r="C1" s="9"/>
      <c r="D1" s="9"/>
      <c r="E1" s="9"/>
      <c r="G1" s="9" t="s">
        <v>186</v>
      </c>
      <c r="H1" s="9"/>
      <c r="I1" s="9"/>
      <c r="J1" s="9"/>
      <c r="K1" s="9"/>
      <c r="L1" s="9"/>
      <c r="M1" s="9"/>
      <c r="O1" s="9" t="s">
        <v>202</v>
      </c>
      <c r="P1" s="9"/>
      <c r="Q1" s="9"/>
      <c r="R1" s="9"/>
    </row>
    <row r="2" spans="1:18" x14ac:dyDescent="0.3">
      <c r="A2" s="2" t="s">
        <v>14</v>
      </c>
      <c r="B2" s="2" t="s">
        <v>144</v>
      </c>
      <c r="C2" s="2" t="s">
        <v>145</v>
      </c>
      <c r="D2" s="2" t="s">
        <v>146</v>
      </c>
      <c r="E2" s="2" t="s">
        <v>147</v>
      </c>
      <c r="G2" s="2" t="s">
        <v>55</v>
      </c>
      <c r="H2" s="2" t="s">
        <v>187</v>
      </c>
      <c r="I2" s="2" t="s">
        <v>188</v>
      </c>
      <c r="J2" s="2" t="s">
        <v>189</v>
      </c>
      <c r="K2" s="2" t="s">
        <v>190</v>
      </c>
      <c r="L2" s="2" t="s">
        <v>191</v>
      </c>
      <c r="M2" s="2" t="s">
        <v>192</v>
      </c>
      <c r="O2" s="2" t="s">
        <v>73</v>
      </c>
      <c r="P2" s="2" t="s">
        <v>193</v>
      </c>
      <c r="Q2" s="2" t="s">
        <v>194</v>
      </c>
    </row>
    <row r="3" spans="1:18" x14ac:dyDescent="0.3">
      <c r="A3" s="1" t="s">
        <v>148</v>
      </c>
      <c r="B3" s="1">
        <v>0.98</v>
      </c>
      <c r="C3" s="1">
        <v>0.99</v>
      </c>
      <c r="D3" s="1">
        <v>0.98</v>
      </c>
      <c r="E3" s="1">
        <v>93</v>
      </c>
      <c r="G3" s="1">
        <v>1</v>
      </c>
      <c r="H3" s="1">
        <v>1.6822999999999999</v>
      </c>
      <c r="I3" s="1">
        <v>0.66069999999999995</v>
      </c>
      <c r="J3" s="1">
        <v>0.54220000000000002</v>
      </c>
      <c r="K3" s="1">
        <v>1.1769000000000001</v>
      </c>
      <c r="L3" s="1">
        <v>0.82850000000000001</v>
      </c>
      <c r="M3" s="1">
        <v>0.75380000000000003</v>
      </c>
      <c r="O3" s="1" t="s">
        <v>82</v>
      </c>
      <c r="P3" s="4">
        <v>0.9859</v>
      </c>
      <c r="Q3" s="1" t="s">
        <v>195</v>
      </c>
    </row>
    <row r="4" spans="1:18" x14ac:dyDescent="0.3">
      <c r="A4" s="1" t="s">
        <v>149</v>
      </c>
      <c r="B4" s="1">
        <v>0.98</v>
      </c>
      <c r="C4" s="1">
        <v>0.99</v>
      </c>
      <c r="D4" s="1">
        <v>0.98</v>
      </c>
      <c r="E4" s="1">
        <v>93</v>
      </c>
      <c r="G4" s="1">
        <v>2</v>
      </c>
      <c r="H4" s="1">
        <v>1.1309</v>
      </c>
      <c r="I4" s="1">
        <v>0.85040000000000004</v>
      </c>
      <c r="J4" s="1">
        <v>0.78459999999999996</v>
      </c>
      <c r="K4" s="1">
        <v>1.0024</v>
      </c>
      <c r="L4" s="1">
        <v>0.89180000000000004</v>
      </c>
      <c r="M4" s="1">
        <v>0.8448</v>
      </c>
      <c r="O4" s="1" t="s">
        <v>196</v>
      </c>
      <c r="P4" s="1">
        <v>0.98129999999999995</v>
      </c>
      <c r="Q4" s="1" t="s">
        <v>197</v>
      </c>
    </row>
    <row r="5" spans="1:18" x14ac:dyDescent="0.3">
      <c r="A5" s="1" t="s">
        <v>150</v>
      </c>
      <c r="B5" s="1">
        <v>1</v>
      </c>
      <c r="C5" s="1">
        <v>0.95</v>
      </c>
      <c r="D5" s="1">
        <v>0.98</v>
      </c>
      <c r="E5" s="1">
        <v>42</v>
      </c>
      <c r="G5" s="1">
        <v>3</v>
      </c>
      <c r="H5" s="1">
        <v>1.0002</v>
      </c>
      <c r="I5" s="1">
        <v>0.89529999999999998</v>
      </c>
      <c r="J5" s="1">
        <v>0.85399999999999998</v>
      </c>
      <c r="K5" s="1">
        <v>0.93510000000000004</v>
      </c>
      <c r="L5" s="1">
        <v>0.90900000000000003</v>
      </c>
      <c r="M5" s="1">
        <v>0.87849999999999995</v>
      </c>
      <c r="O5" s="1" t="s">
        <v>198</v>
      </c>
      <c r="P5" s="1">
        <v>0.99</v>
      </c>
      <c r="Q5" s="1" t="s">
        <v>199</v>
      </c>
    </row>
    <row r="6" spans="1:18" x14ac:dyDescent="0.3">
      <c r="A6" s="1" t="s">
        <v>151</v>
      </c>
      <c r="B6" s="1">
        <v>0.98</v>
      </c>
      <c r="C6" s="1">
        <v>0.98</v>
      </c>
      <c r="D6" s="1">
        <v>0.98</v>
      </c>
      <c r="E6" s="1">
        <v>254</v>
      </c>
      <c r="G6" s="1">
        <v>4</v>
      </c>
      <c r="H6" s="1">
        <v>0.94430000000000003</v>
      </c>
      <c r="I6" s="1">
        <v>0.91500000000000004</v>
      </c>
      <c r="J6" s="1">
        <v>0.88419999999999999</v>
      </c>
      <c r="K6" s="1">
        <v>0.87590000000000001</v>
      </c>
      <c r="L6" s="1">
        <v>0.93259999999999998</v>
      </c>
      <c r="M6" s="1">
        <v>0.90590000000000004</v>
      </c>
      <c r="O6" s="1" t="s">
        <v>200</v>
      </c>
      <c r="P6" s="3">
        <v>8147</v>
      </c>
      <c r="Q6" s="1" t="s">
        <v>201</v>
      </c>
    </row>
    <row r="7" spans="1:18" x14ac:dyDescent="0.3">
      <c r="A7" s="1" t="s">
        <v>152</v>
      </c>
      <c r="B7" s="1">
        <v>0.99</v>
      </c>
      <c r="C7" s="1">
        <v>0.99</v>
      </c>
      <c r="D7" s="1">
        <v>0.99</v>
      </c>
      <c r="E7" s="1">
        <v>222</v>
      </c>
      <c r="G7" s="1">
        <v>5</v>
      </c>
      <c r="H7" s="1">
        <v>0.90029999999999999</v>
      </c>
      <c r="I7" s="1">
        <v>0.93</v>
      </c>
      <c r="J7" s="1">
        <v>0.90569999999999995</v>
      </c>
      <c r="K7" s="1">
        <v>0.84689999999999999</v>
      </c>
      <c r="L7" s="1">
        <v>0.94079999999999997</v>
      </c>
      <c r="M7" s="1">
        <v>0.92030000000000001</v>
      </c>
    </row>
    <row r="8" spans="1:18" x14ac:dyDescent="0.3">
      <c r="A8" s="1" t="s">
        <v>153</v>
      </c>
      <c r="B8" s="1">
        <v>0.98</v>
      </c>
      <c r="C8" s="1">
        <v>0.99</v>
      </c>
      <c r="D8" s="1">
        <v>0.99</v>
      </c>
      <c r="E8" s="1">
        <v>163</v>
      </c>
      <c r="G8" s="1">
        <v>6</v>
      </c>
      <c r="H8" s="1">
        <v>0.86629999999999996</v>
      </c>
      <c r="I8" s="1">
        <v>0.94179999999999997</v>
      </c>
      <c r="J8" s="1">
        <v>0.92059999999999997</v>
      </c>
      <c r="K8" s="1">
        <v>0.82379999999999998</v>
      </c>
      <c r="L8" s="1">
        <v>0.94779999999999998</v>
      </c>
      <c r="M8" s="1">
        <v>0.92720000000000002</v>
      </c>
    </row>
    <row r="9" spans="1:18" x14ac:dyDescent="0.3">
      <c r="A9" s="1" t="s">
        <v>154</v>
      </c>
      <c r="B9" s="1">
        <v>1</v>
      </c>
      <c r="C9" s="1">
        <v>1</v>
      </c>
      <c r="D9" s="1">
        <v>1</v>
      </c>
      <c r="E9" s="1">
        <v>131</v>
      </c>
      <c r="G9" s="1">
        <v>7</v>
      </c>
      <c r="H9" s="1">
        <v>0.85589999999999999</v>
      </c>
      <c r="I9" s="1">
        <v>0.94499999999999995</v>
      </c>
      <c r="J9" s="1">
        <v>0.92600000000000005</v>
      </c>
      <c r="K9" s="1">
        <v>0.82320000000000004</v>
      </c>
      <c r="L9" s="1">
        <v>0.94789999999999996</v>
      </c>
      <c r="M9" s="1">
        <v>0.93120000000000003</v>
      </c>
    </row>
    <row r="10" spans="1:18" x14ac:dyDescent="0.3">
      <c r="A10" s="1" t="s">
        <v>155</v>
      </c>
      <c r="B10" s="1">
        <v>0.95</v>
      </c>
      <c r="C10" s="1">
        <v>0.81</v>
      </c>
      <c r="D10" s="1">
        <v>0.88</v>
      </c>
      <c r="E10" s="1">
        <v>74</v>
      </c>
      <c r="G10" s="1">
        <v>8</v>
      </c>
      <c r="H10" s="1">
        <v>0.83409999999999995</v>
      </c>
      <c r="I10" s="1">
        <v>0.95240000000000002</v>
      </c>
      <c r="J10" s="1">
        <v>0.93530000000000002</v>
      </c>
      <c r="K10" s="1">
        <v>0.82379999999999998</v>
      </c>
      <c r="L10" s="1">
        <v>0.95</v>
      </c>
      <c r="M10" s="1">
        <v>0.93489999999999995</v>
      </c>
    </row>
    <row r="11" spans="1:18" x14ac:dyDescent="0.3">
      <c r="A11" s="1" t="s">
        <v>156</v>
      </c>
      <c r="B11" s="1">
        <v>1</v>
      </c>
      <c r="C11" s="1">
        <v>1</v>
      </c>
      <c r="D11" s="1">
        <v>1</v>
      </c>
      <c r="E11" s="1">
        <v>179</v>
      </c>
      <c r="G11" s="1">
        <v>9</v>
      </c>
      <c r="H11" s="1">
        <v>0.82310000000000005</v>
      </c>
      <c r="I11" s="1">
        <v>0.95650000000000002</v>
      </c>
      <c r="J11" s="1">
        <v>0.94140000000000001</v>
      </c>
      <c r="K11" s="1">
        <v>0.78390000000000004</v>
      </c>
      <c r="L11" s="1">
        <v>0.9617</v>
      </c>
      <c r="M11" s="1">
        <v>0.94479999999999997</v>
      </c>
    </row>
    <row r="12" spans="1:18" x14ac:dyDescent="0.3">
      <c r="A12" s="1" t="s">
        <v>157</v>
      </c>
      <c r="B12" s="1">
        <v>0.91</v>
      </c>
      <c r="C12" s="1">
        <v>0.98</v>
      </c>
      <c r="D12" s="1">
        <v>0.94</v>
      </c>
      <c r="E12" s="1">
        <v>137</v>
      </c>
      <c r="G12" s="1">
        <v>10</v>
      </c>
      <c r="H12" s="1">
        <v>0.81389999999999996</v>
      </c>
      <c r="I12" s="1">
        <v>0.95960000000000001</v>
      </c>
      <c r="J12" s="1">
        <v>0.94540000000000002</v>
      </c>
      <c r="K12" s="1">
        <v>0.77859999999999996</v>
      </c>
      <c r="L12" s="1">
        <v>0.96509999999999996</v>
      </c>
      <c r="M12" s="1">
        <v>0.9536</v>
      </c>
    </row>
    <row r="13" spans="1:18" x14ac:dyDescent="0.3">
      <c r="A13" s="1" t="s">
        <v>158</v>
      </c>
      <c r="B13" s="1">
        <v>1</v>
      </c>
      <c r="C13" s="1">
        <v>1</v>
      </c>
      <c r="D13" s="1">
        <v>1</v>
      </c>
      <c r="E13" s="1">
        <v>189</v>
      </c>
      <c r="G13" s="1">
        <v>11</v>
      </c>
      <c r="H13" s="1">
        <v>0.80220000000000002</v>
      </c>
      <c r="I13" s="1">
        <v>0.96309999999999996</v>
      </c>
      <c r="J13" s="1">
        <v>0.95</v>
      </c>
      <c r="K13" s="1">
        <v>0.77900000000000003</v>
      </c>
      <c r="L13" s="1">
        <v>0.9637</v>
      </c>
      <c r="M13" s="1">
        <v>0.95069999999999999</v>
      </c>
    </row>
    <row r="14" spans="1:18" x14ac:dyDescent="0.3">
      <c r="A14" s="1" t="s">
        <v>159</v>
      </c>
      <c r="B14" s="1">
        <v>0.96</v>
      </c>
      <c r="C14" s="1">
        <v>1</v>
      </c>
      <c r="D14" s="1">
        <v>0.98</v>
      </c>
      <c r="E14" s="1">
        <v>163</v>
      </c>
      <c r="G14" s="1">
        <v>12</v>
      </c>
      <c r="H14" s="1">
        <v>0.79859999999999998</v>
      </c>
      <c r="I14" s="1">
        <v>0.96399999999999997</v>
      </c>
      <c r="J14" s="1">
        <v>0.95230000000000004</v>
      </c>
      <c r="K14" s="1">
        <v>0.79169999999999996</v>
      </c>
      <c r="L14" s="1">
        <v>0.96020000000000005</v>
      </c>
      <c r="M14" s="1">
        <v>0.95089999999999997</v>
      </c>
    </row>
    <row r="15" spans="1:18" x14ac:dyDescent="0.3">
      <c r="A15" s="1" t="s">
        <v>160</v>
      </c>
      <c r="B15" s="1">
        <v>1</v>
      </c>
      <c r="C15" s="1">
        <v>0.97</v>
      </c>
      <c r="D15" s="1">
        <v>0.99</v>
      </c>
      <c r="E15" s="1">
        <v>194</v>
      </c>
      <c r="G15" s="1">
        <v>13</v>
      </c>
      <c r="H15" s="1">
        <v>0.78969999999999996</v>
      </c>
      <c r="I15" s="1">
        <v>0.96799999999999997</v>
      </c>
      <c r="J15" s="1">
        <v>0.95660000000000001</v>
      </c>
      <c r="K15" s="1">
        <v>0.77310000000000001</v>
      </c>
      <c r="L15" s="1">
        <v>0.96699999999999997</v>
      </c>
      <c r="M15" s="1">
        <v>0.95499999999999996</v>
      </c>
    </row>
    <row r="16" spans="1:18" x14ac:dyDescent="0.3">
      <c r="A16" s="1" t="s">
        <v>161</v>
      </c>
      <c r="B16" s="1">
        <v>0.99</v>
      </c>
      <c r="C16" s="1">
        <v>1</v>
      </c>
      <c r="D16" s="1">
        <v>1</v>
      </c>
      <c r="E16" s="1">
        <v>173</v>
      </c>
      <c r="G16" s="1">
        <v>14</v>
      </c>
      <c r="H16" s="1">
        <v>0.78820000000000001</v>
      </c>
      <c r="I16" s="1">
        <v>0.96709999999999996</v>
      </c>
      <c r="J16" s="1">
        <v>0.95599999999999996</v>
      </c>
      <c r="K16" s="1">
        <v>0.78649999999999998</v>
      </c>
      <c r="L16" s="1">
        <v>0.95940000000000003</v>
      </c>
      <c r="M16" s="1">
        <v>0.94140000000000001</v>
      </c>
    </row>
    <row r="17" spans="1:13" x14ac:dyDescent="0.3">
      <c r="A17" s="1" t="s">
        <v>162</v>
      </c>
      <c r="B17" s="1">
        <v>1</v>
      </c>
      <c r="C17" s="1">
        <v>0.98</v>
      </c>
      <c r="D17" s="1">
        <v>0.99</v>
      </c>
      <c r="E17" s="1">
        <v>65</v>
      </c>
      <c r="G17" s="1">
        <v>15</v>
      </c>
      <c r="H17" s="1">
        <v>0.78010000000000002</v>
      </c>
      <c r="I17" s="1">
        <v>0.97109999999999996</v>
      </c>
      <c r="J17" s="1">
        <v>0.96240000000000003</v>
      </c>
      <c r="K17" s="1">
        <v>0.77559999999999996</v>
      </c>
      <c r="L17" s="1">
        <v>0.96509999999999996</v>
      </c>
      <c r="M17" s="1">
        <v>0.95130000000000003</v>
      </c>
    </row>
    <row r="18" spans="1:13" x14ac:dyDescent="0.3">
      <c r="A18" s="1" t="s">
        <v>163</v>
      </c>
      <c r="B18" s="1">
        <v>1</v>
      </c>
      <c r="C18" s="1">
        <v>1</v>
      </c>
      <c r="D18" s="1">
        <v>1</v>
      </c>
      <c r="E18" s="1">
        <v>798</v>
      </c>
      <c r="G18" s="1">
        <v>16</v>
      </c>
      <c r="H18" s="1">
        <v>0.77810000000000001</v>
      </c>
      <c r="I18" s="1">
        <v>0.97170000000000001</v>
      </c>
      <c r="J18" s="1">
        <v>0.96289999999999998</v>
      </c>
      <c r="K18" s="1">
        <v>0.77</v>
      </c>
      <c r="L18" s="1">
        <v>0.96609999999999996</v>
      </c>
      <c r="M18" s="1">
        <v>0.95520000000000005</v>
      </c>
    </row>
    <row r="19" spans="1:13" x14ac:dyDescent="0.3">
      <c r="A19" s="1" t="s">
        <v>164</v>
      </c>
      <c r="B19" s="1">
        <v>0.99</v>
      </c>
      <c r="C19" s="1">
        <v>0.99</v>
      </c>
      <c r="D19" s="1">
        <v>0.99</v>
      </c>
      <c r="E19" s="1">
        <v>348</v>
      </c>
      <c r="G19" s="1">
        <v>17</v>
      </c>
      <c r="H19" s="1">
        <v>0.7319</v>
      </c>
      <c r="I19" s="1">
        <v>0.98680000000000001</v>
      </c>
      <c r="J19" s="1">
        <v>0.98209999999999997</v>
      </c>
      <c r="K19" s="1">
        <v>0.72899999999999998</v>
      </c>
      <c r="L19" s="1">
        <v>0.97989999999999999</v>
      </c>
      <c r="M19" s="1">
        <v>0.97299999999999998</v>
      </c>
    </row>
    <row r="20" spans="1:13" x14ac:dyDescent="0.3">
      <c r="A20" s="1" t="s">
        <v>165</v>
      </c>
      <c r="B20" s="1">
        <v>0.98</v>
      </c>
      <c r="C20" s="1">
        <v>1</v>
      </c>
      <c r="D20" s="1">
        <v>0.99</v>
      </c>
      <c r="E20" s="1">
        <v>41</v>
      </c>
      <c r="G20" s="1">
        <v>18</v>
      </c>
      <c r="H20" s="1">
        <v>0.72699999999999998</v>
      </c>
      <c r="I20" s="1">
        <v>0.98870000000000002</v>
      </c>
      <c r="J20" s="1">
        <v>0.98419999999999996</v>
      </c>
      <c r="K20" s="1">
        <v>0.71879999999999999</v>
      </c>
      <c r="L20" s="1">
        <v>0.98429999999999995</v>
      </c>
      <c r="M20" s="1">
        <v>0.97960000000000003</v>
      </c>
    </row>
    <row r="21" spans="1:13" x14ac:dyDescent="0.3">
      <c r="A21" s="1" t="s">
        <v>166</v>
      </c>
      <c r="B21" s="1">
        <v>1</v>
      </c>
      <c r="C21" s="1">
        <v>0.96</v>
      </c>
      <c r="D21" s="1">
        <v>0.98</v>
      </c>
      <c r="E21" s="1">
        <v>173</v>
      </c>
      <c r="G21" s="1">
        <v>19</v>
      </c>
      <c r="H21" s="1">
        <v>0.72560000000000002</v>
      </c>
      <c r="I21" s="1">
        <v>0.98850000000000005</v>
      </c>
      <c r="J21" s="1">
        <v>0.98419999999999996</v>
      </c>
      <c r="K21" s="1">
        <v>0.75090000000000001</v>
      </c>
      <c r="L21" s="1">
        <v>0.97450000000000003</v>
      </c>
      <c r="M21" s="1">
        <v>0.96719999999999995</v>
      </c>
    </row>
    <row r="22" spans="1:13" x14ac:dyDescent="0.3">
      <c r="A22" s="1" t="s">
        <v>167</v>
      </c>
      <c r="B22" s="1">
        <v>1</v>
      </c>
      <c r="C22" s="1">
        <v>0.98</v>
      </c>
      <c r="D22" s="1">
        <v>0.99</v>
      </c>
      <c r="E22" s="1">
        <v>237</v>
      </c>
      <c r="G22" s="1">
        <v>20</v>
      </c>
      <c r="H22" s="1">
        <v>0.72629999999999995</v>
      </c>
      <c r="I22" s="1">
        <v>0.98860000000000003</v>
      </c>
      <c r="J22" s="1">
        <v>0.98540000000000005</v>
      </c>
      <c r="K22" s="1">
        <v>0.7288</v>
      </c>
      <c r="L22" s="1">
        <v>0.98129999999999995</v>
      </c>
      <c r="M22" s="1">
        <v>0.97309999999999997</v>
      </c>
    </row>
    <row r="23" spans="1:13" x14ac:dyDescent="0.3">
      <c r="A23" s="1" t="s">
        <v>168</v>
      </c>
      <c r="B23" s="1">
        <v>0.97</v>
      </c>
      <c r="C23" s="1">
        <v>0.99</v>
      </c>
      <c r="D23" s="1">
        <v>0.98</v>
      </c>
      <c r="E23" s="1">
        <v>144</v>
      </c>
      <c r="G23" s="1">
        <v>21</v>
      </c>
      <c r="H23" s="1">
        <v>0.72319999999999995</v>
      </c>
      <c r="I23" s="1">
        <v>0.98980000000000001</v>
      </c>
      <c r="J23" s="1">
        <v>0.98680000000000001</v>
      </c>
      <c r="K23" s="1">
        <v>0.74050000000000005</v>
      </c>
      <c r="L23" s="1">
        <v>0.9768</v>
      </c>
      <c r="M23" s="1">
        <v>0.96909999999999996</v>
      </c>
    </row>
    <row r="24" spans="1:13" x14ac:dyDescent="0.3">
      <c r="A24" s="1" t="s">
        <v>169</v>
      </c>
      <c r="B24" s="1">
        <v>0.98</v>
      </c>
      <c r="C24" s="1">
        <v>0.99</v>
      </c>
      <c r="D24" s="1">
        <v>0.98</v>
      </c>
      <c r="E24" s="1">
        <v>139</v>
      </c>
      <c r="G24" s="1">
        <v>22</v>
      </c>
      <c r="H24" s="1">
        <v>0.70589999999999997</v>
      </c>
      <c r="I24" s="1">
        <v>0.99509999999999998</v>
      </c>
      <c r="J24" s="1">
        <v>0.99339999999999995</v>
      </c>
      <c r="K24" s="1">
        <v>0.70930000000000004</v>
      </c>
      <c r="L24" s="1">
        <v>0.98670000000000002</v>
      </c>
      <c r="M24" s="1">
        <v>0.98180000000000001</v>
      </c>
    </row>
    <row r="25" spans="1:13" x14ac:dyDescent="0.3">
      <c r="A25" s="1" t="s">
        <v>170</v>
      </c>
      <c r="B25" s="1">
        <v>0.97</v>
      </c>
      <c r="C25" s="1">
        <v>1</v>
      </c>
      <c r="D25" s="1">
        <v>0.98</v>
      </c>
      <c r="E25" s="1">
        <v>32</v>
      </c>
      <c r="G25" s="1">
        <v>23</v>
      </c>
      <c r="H25" s="1">
        <v>0.70230000000000004</v>
      </c>
      <c r="I25" s="1">
        <v>0.99619999999999997</v>
      </c>
      <c r="J25" s="1">
        <v>0.99409999999999998</v>
      </c>
      <c r="K25" s="1">
        <v>0.71460000000000001</v>
      </c>
      <c r="L25" s="1">
        <v>0.98619999999999997</v>
      </c>
      <c r="M25" s="1">
        <v>0.98240000000000005</v>
      </c>
    </row>
    <row r="26" spans="1:13" x14ac:dyDescent="0.3">
      <c r="A26" s="1" t="s">
        <v>171</v>
      </c>
      <c r="B26" s="1">
        <v>0.98</v>
      </c>
      <c r="C26" s="1">
        <v>1</v>
      </c>
      <c r="D26" s="1">
        <v>0.99</v>
      </c>
      <c r="E26" s="1">
        <v>54</v>
      </c>
      <c r="G26" s="1">
        <v>24</v>
      </c>
      <c r="H26" s="1">
        <v>0.70350000000000001</v>
      </c>
      <c r="I26" s="1">
        <v>0.99570000000000003</v>
      </c>
      <c r="J26" s="1">
        <v>0.99429999999999996</v>
      </c>
      <c r="K26" s="1">
        <v>0.71530000000000005</v>
      </c>
      <c r="L26" s="1">
        <v>0.98599999999999999</v>
      </c>
      <c r="M26" s="1">
        <v>0.98219999999999996</v>
      </c>
    </row>
    <row r="27" spans="1:13" x14ac:dyDescent="0.3">
      <c r="A27" s="1" t="s">
        <v>172</v>
      </c>
      <c r="B27" s="1">
        <v>0.99</v>
      </c>
      <c r="C27" s="1">
        <v>0.99</v>
      </c>
      <c r="D27" s="1">
        <v>0.99</v>
      </c>
      <c r="E27" s="1">
        <v>783</v>
      </c>
      <c r="G27" s="1">
        <v>25</v>
      </c>
      <c r="H27" s="1">
        <v>0.70220000000000005</v>
      </c>
      <c r="I27" s="1">
        <v>0.99590000000000001</v>
      </c>
      <c r="J27" s="1">
        <v>0.995</v>
      </c>
      <c r="K27" s="1">
        <v>0.71379999999999999</v>
      </c>
      <c r="L27" s="1">
        <v>0.98550000000000004</v>
      </c>
      <c r="M27" s="1">
        <v>0.98099999999999998</v>
      </c>
    </row>
    <row r="28" spans="1:13" x14ac:dyDescent="0.3">
      <c r="A28" s="1" t="s">
        <v>173</v>
      </c>
      <c r="B28" s="1">
        <v>0.99</v>
      </c>
      <c r="C28" s="1">
        <v>1</v>
      </c>
      <c r="D28" s="1">
        <v>0.99</v>
      </c>
      <c r="E28" s="1">
        <v>289</v>
      </c>
    </row>
    <row r="29" spans="1:13" x14ac:dyDescent="0.3">
      <c r="A29" s="1" t="s">
        <v>174</v>
      </c>
      <c r="B29" s="1">
        <v>0.99</v>
      </c>
      <c r="C29" s="1">
        <v>0.99</v>
      </c>
      <c r="D29" s="1">
        <v>0.99</v>
      </c>
      <c r="E29" s="1">
        <v>168</v>
      </c>
    </row>
    <row r="30" spans="1:13" x14ac:dyDescent="0.3">
      <c r="A30" s="1" t="s">
        <v>175</v>
      </c>
      <c r="B30" s="1">
        <v>0.97</v>
      </c>
      <c r="C30" s="1">
        <v>1</v>
      </c>
      <c r="D30" s="1">
        <v>0.98</v>
      </c>
      <c r="E30" s="1">
        <v>63</v>
      </c>
    </row>
    <row r="31" spans="1:13" x14ac:dyDescent="0.3">
      <c r="A31" s="1" t="s">
        <v>176</v>
      </c>
      <c r="B31" s="1">
        <v>0.97</v>
      </c>
      <c r="C31" s="1">
        <v>0.99</v>
      </c>
      <c r="D31" s="1">
        <v>0.98</v>
      </c>
      <c r="E31" s="1">
        <v>300</v>
      </c>
    </row>
    <row r="32" spans="1:13" x14ac:dyDescent="0.3">
      <c r="A32" s="1" t="s">
        <v>177</v>
      </c>
      <c r="B32" s="1">
        <v>0.99</v>
      </c>
      <c r="C32" s="1">
        <v>0.91</v>
      </c>
      <c r="D32" s="1">
        <v>0.95</v>
      </c>
      <c r="E32" s="1">
        <v>159</v>
      </c>
    </row>
    <row r="33" spans="1:5" x14ac:dyDescent="0.3">
      <c r="A33" s="1" t="s">
        <v>178</v>
      </c>
      <c r="B33" s="1">
        <v>0.95</v>
      </c>
      <c r="C33" s="1">
        <v>0.97</v>
      </c>
      <c r="D33" s="1">
        <v>0.96</v>
      </c>
      <c r="E33" s="1">
        <v>278</v>
      </c>
    </row>
    <row r="34" spans="1:5" x14ac:dyDescent="0.3">
      <c r="A34" s="1" t="s">
        <v>179</v>
      </c>
      <c r="B34" s="1">
        <v>1</v>
      </c>
      <c r="C34" s="1">
        <v>0.94</v>
      </c>
      <c r="D34" s="1">
        <v>0.97</v>
      </c>
      <c r="E34" s="1">
        <v>136</v>
      </c>
    </row>
    <row r="35" spans="1:5" x14ac:dyDescent="0.3">
      <c r="A35" s="1" t="s">
        <v>180</v>
      </c>
      <c r="B35" s="1">
        <v>0.98</v>
      </c>
      <c r="C35" s="1">
        <v>0.97</v>
      </c>
      <c r="D35" s="1">
        <v>0.97</v>
      </c>
      <c r="E35" s="1">
        <v>276</v>
      </c>
    </row>
    <row r="36" spans="1:5" x14ac:dyDescent="0.3">
      <c r="A36" s="1" t="s">
        <v>181</v>
      </c>
      <c r="B36" s="1">
        <v>0.96</v>
      </c>
      <c r="C36" s="1">
        <v>1</v>
      </c>
      <c r="D36" s="1">
        <v>0.98</v>
      </c>
      <c r="E36" s="1">
        <v>243</v>
      </c>
    </row>
    <row r="37" spans="1:5" x14ac:dyDescent="0.3">
      <c r="A37" s="1" t="s">
        <v>182</v>
      </c>
      <c r="B37" s="1">
        <v>0.97</v>
      </c>
      <c r="C37" s="1">
        <v>0.97</v>
      </c>
      <c r="D37" s="1">
        <v>0.97</v>
      </c>
      <c r="E37" s="1">
        <v>212</v>
      </c>
    </row>
    <row r="38" spans="1:5" x14ac:dyDescent="0.3">
      <c r="A38" s="1" t="s">
        <v>183</v>
      </c>
      <c r="B38" s="1">
        <v>1</v>
      </c>
      <c r="C38" s="1">
        <v>1</v>
      </c>
      <c r="D38" s="1">
        <v>1</v>
      </c>
      <c r="E38" s="1">
        <v>826</v>
      </c>
    </row>
    <row r="39" spans="1:5" x14ac:dyDescent="0.3">
      <c r="A39" s="1" t="s">
        <v>184</v>
      </c>
      <c r="B39" s="1">
        <v>0.98</v>
      </c>
      <c r="C39" s="1">
        <v>1</v>
      </c>
      <c r="D39" s="1">
        <v>0.99</v>
      </c>
      <c r="E39" s="1">
        <v>50</v>
      </c>
    </row>
    <row r="40" spans="1:5" x14ac:dyDescent="0.3">
      <c r="A40" s="1" t="s">
        <v>185</v>
      </c>
      <c r="B40" s="1">
        <v>0.98</v>
      </c>
      <c r="C40" s="1">
        <v>1</v>
      </c>
      <c r="D40" s="1">
        <v>0.99</v>
      </c>
      <c r="E40" s="1">
        <v>226</v>
      </c>
    </row>
  </sheetData>
  <mergeCells count="3">
    <mergeCell ref="A1:E1"/>
    <mergeCell ref="G1:M1"/>
    <mergeCell ref="O1:R1"/>
  </mergeCells>
  <conditionalFormatting sqref="B3:B40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3:C4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:D40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3:E40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3:H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classes</vt:lpstr>
      <vt:lpstr>PlantVillage Vit</vt:lpstr>
      <vt:lpstr>PlantVillage CRNN</vt:lpstr>
      <vt:lpstr>PlantVillage GCNN</vt:lpstr>
      <vt:lpstr>PlantVillage GRCNN</vt:lpstr>
      <vt:lpstr>4 models comparrison</vt:lpstr>
      <vt:lpstr>CRNN(opt)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Butt</dc:creator>
  <cp:lastModifiedBy>Moaqir Ahmad Mian</cp:lastModifiedBy>
  <dcterms:created xsi:type="dcterms:W3CDTF">2015-06-05T18:17:20Z</dcterms:created>
  <dcterms:modified xsi:type="dcterms:W3CDTF">2026-01-30T18:53:30Z</dcterms:modified>
</cp:coreProperties>
</file>